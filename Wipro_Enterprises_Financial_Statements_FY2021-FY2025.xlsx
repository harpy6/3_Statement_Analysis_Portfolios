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DELL\Documents\WIPRO\working\WIPRO WORKING\"/>
    </mc:Choice>
  </mc:AlternateContent>
  <xr:revisionPtr revIDLastSave="0" documentId="13_ncr:1_{7E4A69A1-A34E-43F8-8661-3A074A3C7DEB}" xr6:coauthVersionLast="47" xr6:coauthVersionMax="47" xr10:uidLastSave="{00000000-0000-0000-0000-000000000000}"/>
  <bookViews>
    <workbookView xWindow="-108" yWindow="-108" windowWidth="23256" windowHeight="12456" firstSheet="19" activeTab="25" xr2:uid="{00000000-000D-0000-FFFF-FFFF00000000}"/>
  </bookViews>
  <sheets>
    <sheet name="Cover Notes" sheetId="1" r:id="rId1"/>
    <sheet name="PL 2020-21" sheetId="3" r:id="rId2"/>
    <sheet name="CF 2020-21" sheetId="4" r:id="rId3"/>
    <sheet name="BS 2020-21" sheetId="2" r:id="rId4"/>
    <sheet name="Notes 2020-21" sheetId="5" r:id="rId5"/>
    <sheet name="BS 2021-22" sheetId="6" r:id="rId6"/>
    <sheet name="PL 2021-22" sheetId="7" r:id="rId7"/>
    <sheet name="CF 2021-22" sheetId="8" r:id="rId8"/>
    <sheet name="_Combined Balance Sheet" sheetId="24" r:id="rId9"/>
    <sheet name="Notes 2021-22" sheetId="9" r:id="rId10"/>
    <sheet name="BS 2022-23" sheetId="10" r:id="rId11"/>
    <sheet name="PL 2022-23" sheetId="11" r:id="rId12"/>
    <sheet name="CF 2022-23" sheetId="12" r:id="rId13"/>
    <sheet name="Notes 2022-23" sheetId="13" r:id="rId14"/>
    <sheet name="BS 2023-24" sheetId="14" r:id="rId15"/>
    <sheet name="PL 2023-24" sheetId="15" r:id="rId16"/>
    <sheet name="CF 2023-24" sheetId="16" r:id="rId17"/>
    <sheet name="Notes 2023-24" sheetId="17" r:id="rId18"/>
    <sheet name="Notes 2024-25" sheetId="21" r:id="rId19"/>
    <sheet name="BS 2024-25" sheetId="18" r:id="rId20"/>
    <sheet name="combined BS" sheetId="26" r:id="rId21"/>
    <sheet name="CF 2024-25" sheetId="20" r:id="rId22"/>
    <sheet name="PL 2024-25" sheetId="19" r:id="rId23"/>
    <sheet name="HistoriacalIFLS" sheetId="22" r:id="rId24"/>
    <sheet name="Ratio Analysis" sheetId="27" r:id="rId25"/>
    <sheet name="Commen-Size" sheetId="28" r:id="rId26"/>
    <sheet name="Wacc" sheetId="29" r:id="rId27"/>
  </sheets>
  <externalReferences>
    <externalReference r:id="rId2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4" i="28" l="1"/>
  <c r="H84" i="28"/>
  <c r="G84" i="28"/>
  <c r="F84" i="28"/>
  <c r="E84" i="28"/>
  <c r="D84" i="28"/>
  <c r="B84" i="28"/>
  <c r="I82" i="28"/>
  <c r="H82" i="28"/>
  <c r="G82" i="28"/>
  <c r="F82" i="28"/>
  <c r="E82" i="28"/>
  <c r="D82" i="28"/>
  <c r="B82" i="28"/>
  <c r="I81" i="28"/>
  <c r="H81" i="28"/>
  <c r="G81" i="28"/>
  <c r="F81" i="28"/>
  <c r="E81" i="28"/>
  <c r="D81" i="28"/>
  <c r="B81" i="28"/>
  <c r="I80" i="28"/>
  <c r="H80" i="28"/>
  <c r="G80" i="28"/>
  <c r="F80" i="28"/>
  <c r="E80" i="28"/>
  <c r="D80" i="28"/>
  <c r="B80" i="28"/>
  <c r="I79" i="28"/>
  <c r="H79" i="28"/>
  <c r="G79" i="28"/>
  <c r="F79" i="28"/>
  <c r="E79" i="28"/>
  <c r="D79" i="28"/>
  <c r="B79" i="28"/>
  <c r="I78" i="28"/>
  <c r="H78" i="28"/>
  <c r="G78" i="28"/>
  <c r="F78" i="28"/>
  <c r="E78" i="28"/>
  <c r="D78" i="28"/>
  <c r="B78" i="28"/>
  <c r="I77" i="28"/>
  <c r="H77" i="28"/>
  <c r="G77" i="28"/>
  <c r="F77" i="28"/>
  <c r="E77" i="28"/>
  <c r="D77" i="28"/>
  <c r="B77" i="28"/>
  <c r="I75" i="28"/>
  <c r="H75" i="28"/>
  <c r="G75" i="28"/>
  <c r="F75" i="28"/>
  <c r="E75" i="28"/>
  <c r="D75" i="28"/>
  <c r="B75" i="28"/>
  <c r="I74" i="28"/>
  <c r="H74" i="28"/>
  <c r="G74" i="28"/>
  <c r="F74" i="28"/>
  <c r="E74" i="28"/>
  <c r="D74" i="28"/>
  <c r="B74" i="28"/>
  <c r="I73" i="28"/>
  <c r="H73" i="28"/>
  <c r="G73" i="28"/>
  <c r="F73" i="28"/>
  <c r="E73" i="28"/>
  <c r="D73" i="28"/>
  <c r="B73" i="28"/>
  <c r="I72" i="28"/>
  <c r="H72" i="28"/>
  <c r="G72" i="28"/>
  <c r="F72" i="28"/>
  <c r="E72" i="28"/>
  <c r="D72" i="28"/>
  <c r="B72" i="28"/>
  <c r="I71" i="28"/>
  <c r="H71" i="28"/>
  <c r="G71" i="28"/>
  <c r="F71" i="28"/>
  <c r="E71" i="28"/>
  <c r="D71" i="28"/>
  <c r="B71" i="28"/>
  <c r="I69" i="28"/>
  <c r="H69" i="28"/>
  <c r="G69" i="28"/>
  <c r="F69" i="28"/>
  <c r="E69" i="28"/>
  <c r="D69" i="28"/>
  <c r="B69" i="28"/>
  <c r="I68" i="28"/>
  <c r="H68" i="28"/>
  <c r="G68" i="28"/>
  <c r="F68" i="28"/>
  <c r="E68" i="28"/>
  <c r="D68" i="28"/>
  <c r="B68" i="28"/>
  <c r="I67" i="28"/>
  <c r="H67" i="28"/>
  <c r="G67" i="28"/>
  <c r="F67" i="28"/>
  <c r="E67" i="28"/>
  <c r="D67" i="28"/>
  <c r="B67" i="28"/>
  <c r="I66" i="28"/>
  <c r="H66" i="28"/>
  <c r="G66" i="28"/>
  <c r="F66" i="28"/>
  <c r="E66" i="28"/>
  <c r="D66" i="28"/>
  <c r="B66" i="28"/>
  <c r="I65" i="28"/>
  <c r="H65" i="28"/>
  <c r="G65" i="28"/>
  <c r="F65" i="28"/>
  <c r="E65" i="28"/>
  <c r="D65" i="28"/>
  <c r="B65" i="28"/>
  <c r="I64" i="28"/>
  <c r="H64" i="28"/>
  <c r="G64" i="28"/>
  <c r="F64" i="28"/>
  <c r="E64" i="28"/>
  <c r="D64" i="28"/>
  <c r="B64" i="28"/>
  <c r="I63" i="28"/>
  <c r="H63" i="28"/>
  <c r="G63" i="28"/>
  <c r="F63" i="28"/>
  <c r="E63" i="28"/>
  <c r="D63" i="28"/>
  <c r="B63" i="28"/>
  <c r="I62" i="28"/>
  <c r="H62" i="28"/>
  <c r="G62" i="28"/>
  <c r="F62" i="28"/>
  <c r="E62" i="28"/>
  <c r="D62" i="28"/>
  <c r="B62" i="28"/>
  <c r="I60" i="28"/>
  <c r="H60" i="28"/>
  <c r="G60" i="28"/>
  <c r="F60" i="28"/>
  <c r="E60" i="28"/>
  <c r="D60" i="28"/>
  <c r="C66" i="27"/>
  <c r="C68" i="27"/>
  <c r="C63" i="27"/>
  <c r="C116" i="22"/>
  <c r="C115" i="22"/>
  <c r="C60" i="27"/>
  <c r="C59" i="27"/>
  <c r="E8" i="27"/>
  <c r="D8" i="27"/>
  <c r="F8" i="27"/>
  <c r="G8" i="27"/>
  <c r="H8" i="27"/>
  <c r="D5" i="27"/>
  <c r="D4" i="27"/>
  <c r="E139" i="22"/>
  <c r="F139" i="22"/>
  <c r="G139" i="22"/>
  <c r="H139" i="22"/>
  <c r="I139" i="22"/>
  <c r="D139" i="22"/>
  <c r="B139" i="22"/>
  <c r="E138" i="22"/>
  <c r="F138" i="22"/>
  <c r="G138" i="22"/>
  <c r="H138" i="22"/>
  <c r="I138" i="22"/>
  <c r="D138" i="22"/>
  <c r="B138" i="22"/>
  <c r="E137" i="22"/>
  <c r="F137" i="22"/>
  <c r="G137" i="22"/>
  <c r="H137" i="22"/>
  <c r="I137" i="22"/>
  <c r="D137" i="22"/>
  <c r="B137" i="22"/>
  <c r="I136" i="22"/>
  <c r="H136" i="22"/>
  <c r="G136" i="22"/>
  <c r="F136" i="22"/>
  <c r="E136" i="22"/>
  <c r="D136" i="22"/>
  <c r="B136" i="22"/>
  <c r="D135" i="22"/>
  <c r="E135" i="22"/>
  <c r="F135" i="22"/>
  <c r="G135" i="22"/>
  <c r="H135" i="22"/>
  <c r="I135" i="22"/>
  <c r="I133" i="22"/>
  <c r="I134" i="22"/>
  <c r="H133" i="22"/>
  <c r="H134" i="22"/>
  <c r="G133" i="22"/>
  <c r="G134" i="22"/>
  <c r="F133" i="22"/>
  <c r="F134" i="22"/>
  <c r="E133" i="22"/>
  <c r="E134" i="22"/>
  <c r="D133" i="22"/>
  <c r="D134" i="22"/>
  <c r="I132" i="22"/>
  <c r="H132" i="22"/>
  <c r="G132" i="22"/>
  <c r="F132" i="22"/>
  <c r="E132" i="22"/>
  <c r="D132" i="22"/>
  <c r="B134" i="22"/>
  <c r="B133" i="22"/>
  <c r="B132" i="22"/>
  <c r="D62" i="27" a="1"/>
  <c r="D62" i="27" s="1"/>
  <c r="D63" i="27" s="1"/>
  <c r="E62" i="27" a="1"/>
  <c r="E62" i="27" s="1"/>
  <c r="E63" i="27" s="1"/>
  <c r="F62" i="27" a="1"/>
  <c r="F62" i="27" s="1"/>
  <c r="F63" i="27" s="1"/>
  <c r="G62" i="27" a="1"/>
  <c r="G62" i="27"/>
  <c r="G63" i="27" s="1"/>
  <c r="H62" i="27" a="1"/>
  <c r="H62" i="27" s="1"/>
  <c r="H63" i="27" s="1"/>
  <c r="C62" i="27" a="1"/>
  <c r="C62" i="27" s="1"/>
  <c r="E128" i="22"/>
  <c r="F128" i="22"/>
  <c r="G128" i="22"/>
  <c r="H128" i="22"/>
  <c r="I128" i="22"/>
  <c r="E127" i="22"/>
  <c r="F127" i="22"/>
  <c r="G127" i="22"/>
  <c r="H127" i="22"/>
  <c r="I127" i="22"/>
  <c r="E126" i="22"/>
  <c r="F126" i="22"/>
  <c r="G126" i="22"/>
  <c r="H126" i="22"/>
  <c r="I126" i="22"/>
  <c r="D128" i="22"/>
  <c r="D127" i="22"/>
  <c r="D126" i="22"/>
  <c r="F68" i="27"/>
  <c r="G68" i="27"/>
  <c r="H68" i="27"/>
  <c r="F67" i="27"/>
  <c r="G67" i="27"/>
  <c r="C67" i="27"/>
  <c r="D66" i="27"/>
  <c r="G66" i="27"/>
  <c r="H116" i="22"/>
  <c r="H66" i="27" s="1"/>
  <c r="D116" i="22"/>
  <c r="D68" i="27" s="1"/>
  <c r="E116" i="22"/>
  <c r="E66" i="27" s="1"/>
  <c r="F116" i="22"/>
  <c r="F66" i="27" s="1"/>
  <c r="G116" i="22"/>
  <c r="I125" i="22"/>
  <c r="H125" i="22"/>
  <c r="G125" i="22"/>
  <c r="F125" i="22"/>
  <c r="E125" i="22"/>
  <c r="D125" i="22"/>
  <c r="E124" i="22"/>
  <c r="D124" i="22"/>
  <c r="I123" i="22"/>
  <c r="H123" i="22"/>
  <c r="G123" i="22"/>
  <c r="F123" i="22"/>
  <c r="B125" i="22"/>
  <c r="E123" i="22"/>
  <c r="D123" i="22"/>
  <c r="B124" i="22"/>
  <c r="B123" i="22"/>
  <c r="C52" i="27"/>
  <c r="H115" i="22"/>
  <c r="D115" i="22"/>
  <c r="E115" i="22"/>
  <c r="F115" i="22"/>
  <c r="G115" i="22"/>
  <c r="K61" i="27"/>
  <c r="J61" i="27"/>
  <c r="H43" i="27"/>
  <c r="I11" i="29"/>
  <c r="J36" i="29"/>
  <c r="C39" i="29"/>
  <c r="C40" i="29"/>
  <c r="K35" i="29"/>
  <c r="J34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23" i="29"/>
  <c r="J35" i="29"/>
  <c r="E11" i="29"/>
  <c r="O24" i="29" s="1"/>
  <c r="L24" i="29" s="1"/>
  <c r="D11" i="29"/>
  <c r="L25" i="29"/>
  <c r="N10" i="29"/>
  <c r="J62" i="27" l="1"/>
  <c r="D67" i="27"/>
  <c r="J67" i="27" s="1"/>
  <c r="K66" i="27"/>
  <c r="H67" i="27"/>
  <c r="E68" i="27"/>
  <c r="K68" i="27" s="1"/>
  <c r="E67" i="27"/>
  <c r="J66" i="27"/>
  <c r="K63" i="27"/>
  <c r="L26" i="29"/>
  <c r="J11" i="29" s="1"/>
  <c r="N12" i="29" s="1"/>
  <c r="J63" i="27"/>
  <c r="H11" i="29"/>
  <c r="N13" i="29" s="1"/>
  <c r="K62" i="27"/>
  <c r="D13" i="29"/>
  <c r="G11" i="29"/>
  <c r="N11" i="29" s="1"/>
  <c r="J68" i="27" l="1"/>
  <c r="K67" i="27"/>
  <c r="N14" i="29"/>
  <c r="G13" i="29"/>
  <c r="D8" i="22"/>
  <c r="C114" i="22"/>
  <c r="H9" i="22"/>
  <c r="C24" i="22"/>
  <c r="F9" i="28"/>
  <c r="G9" i="28"/>
  <c r="H9" i="28"/>
  <c r="E9" i="28"/>
  <c r="D9" i="28"/>
  <c r="G7" i="22"/>
  <c r="G23" i="22" s="1"/>
  <c r="F7" i="22"/>
  <c r="F23" i="22" s="1"/>
  <c r="F9" i="22"/>
  <c r="F30" i="22"/>
  <c r="F13" i="22"/>
  <c r="F19" i="22"/>
  <c r="D13" i="22"/>
  <c r="E13" i="22"/>
  <c r="F27" i="22"/>
  <c r="F22" i="22"/>
  <c r="G13" i="22"/>
  <c r="H13" i="22"/>
  <c r="G27" i="22"/>
  <c r="H27" i="22"/>
  <c r="D23" i="22"/>
  <c r="E23" i="22"/>
  <c r="H23" i="22"/>
  <c r="C23" i="22"/>
  <c r="H22" i="22"/>
  <c r="G22" i="22"/>
  <c r="E22" i="22"/>
  <c r="D22" i="22"/>
  <c r="C22" i="22"/>
  <c r="B16" i="28"/>
  <c r="B15" i="28"/>
  <c r="B14" i="28"/>
  <c r="B13" i="28"/>
  <c r="B12" i="28"/>
  <c r="B11" i="28"/>
  <c r="B10" i="28"/>
  <c r="B8" i="28"/>
  <c r="B7" i="28"/>
  <c r="B6" i="28"/>
  <c r="B5" i="28"/>
  <c r="B51" i="28"/>
  <c r="B30" i="28"/>
  <c r="B31" i="28"/>
  <c r="B32" i="28"/>
  <c r="B33" i="28"/>
  <c r="B34" i="28"/>
  <c r="B35" i="28"/>
  <c r="B36" i="28"/>
  <c r="B38" i="28"/>
  <c r="B39" i="28"/>
  <c r="B40" i="28"/>
  <c r="B41" i="28"/>
  <c r="B42" i="28"/>
  <c r="B44" i="28"/>
  <c r="B45" i="28"/>
  <c r="B46" i="28"/>
  <c r="B47" i="28"/>
  <c r="B48" i="28"/>
  <c r="B49" i="28"/>
  <c r="B29" i="28"/>
  <c r="C56" i="27"/>
  <c r="D56" i="27"/>
  <c r="E56" i="27"/>
  <c r="F56" i="27"/>
  <c r="G56" i="27"/>
  <c r="H56" i="27"/>
  <c r="K53" i="27"/>
  <c r="K54" i="27"/>
  <c r="J53" i="27"/>
  <c r="J54" i="27"/>
  <c r="K44" i="27"/>
  <c r="K48" i="27"/>
  <c r="K49" i="27"/>
  <c r="J44" i="27"/>
  <c r="J48" i="27"/>
  <c r="J49" i="27"/>
  <c r="C36" i="22"/>
  <c r="J56" i="27" l="1"/>
  <c r="K56" i="27"/>
  <c r="K8" i="27" l="1"/>
  <c r="J8" i="27" l="1"/>
  <c r="H104" i="22" l="1"/>
  <c r="G104" i="22"/>
  <c r="F104" i="22"/>
  <c r="E104" i="22"/>
  <c r="H108" i="22"/>
  <c r="G108" i="22"/>
  <c r="F108" i="22"/>
  <c r="E108" i="22"/>
  <c r="D108" i="22"/>
  <c r="C108" i="22"/>
  <c r="H105" i="22"/>
  <c r="G105" i="22"/>
  <c r="F105" i="22"/>
  <c r="E105" i="22"/>
  <c r="D105" i="22"/>
  <c r="C105" i="22"/>
  <c r="D104" i="22"/>
  <c r="C104" i="22"/>
  <c r="H103" i="22"/>
  <c r="G103" i="22"/>
  <c r="F103" i="22"/>
  <c r="E103" i="22"/>
  <c r="D103" i="22"/>
  <c r="C103" i="22"/>
  <c r="H3" i="22"/>
  <c r="I122" i="22" s="1"/>
  <c r="I131" i="22" s="1"/>
  <c r="H98" i="22" a="1"/>
  <c r="H98" i="22" s="1"/>
  <c r="G98" i="22" a="1"/>
  <c r="G98" i="22" s="1"/>
  <c r="H99" i="22"/>
  <c r="H97" i="22"/>
  <c r="G97" i="22"/>
  <c r="G99" i="22"/>
  <c r="H95" i="22"/>
  <c r="G95" i="22"/>
  <c r="H94" i="22"/>
  <c r="G94" i="22"/>
  <c r="H93" i="22"/>
  <c r="G93" i="22"/>
  <c r="H92" i="22"/>
  <c r="G92" i="22"/>
  <c r="H91" i="22"/>
  <c r="G91" i="22"/>
  <c r="H90" i="22"/>
  <c r="G90" i="22"/>
  <c r="F98" i="22"/>
  <c r="E98" i="22"/>
  <c r="F95" i="22"/>
  <c r="E95" i="22"/>
  <c r="F94" i="22"/>
  <c r="E94" i="22"/>
  <c r="F93" i="22"/>
  <c r="E93" i="22"/>
  <c r="D94" i="22"/>
  <c r="F92" i="22"/>
  <c r="E92" i="22"/>
  <c r="E91" i="22"/>
  <c r="F91" i="22"/>
  <c r="F90" i="22"/>
  <c r="E90" i="22"/>
  <c r="D90" i="22"/>
  <c r="C90" i="22"/>
  <c r="D95" i="22"/>
  <c r="C95" i="22"/>
  <c r="C94" i="22"/>
  <c r="D98" i="22"/>
  <c r="C98" i="22"/>
  <c r="D92" i="22"/>
  <c r="D93" i="22"/>
  <c r="C93" i="22"/>
  <c r="D91" i="22"/>
  <c r="C91" i="22"/>
  <c r="C92" i="22"/>
  <c r="H87" i="22"/>
  <c r="G87" i="22"/>
  <c r="H86" i="22"/>
  <c r="G86" i="22"/>
  <c r="H85" i="22"/>
  <c r="G85" i="22"/>
  <c r="H84" i="22"/>
  <c r="G84" i="22"/>
  <c r="H83" i="22"/>
  <c r="G83" i="22"/>
  <c r="F83" i="22"/>
  <c r="F87" i="22"/>
  <c r="E87" i="22"/>
  <c r="F86" i="22"/>
  <c r="E86" i="22"/>
  <c r="F85" i="22"/>
  <c r="E85" i="22"/>
  <c r="F84" i="22"/>
  <c r="E84" i="22"/>
  <c r="E83" i="22"/>
  <c r="D86" i="22"/>
  <c r="C86" i="22"/>
  <c r="D87" i="22"/>
  <c r="C87" i="22"/>
  <c r="D85" i="22"/>
  <c r="C85" i="22"/>
  <c r="D84" i="22"/>
  <c r="C84" i="22"/>
  <c r="D83" i="22"/>
  <c r="C83" i="22"/>
  <c r="D109" i="22" l="1"/>
  <c r="H2" i="27"/>
  <c r="I27" i="28"/>
  <c r="I3" i="28"/>
  <c r="E109" i="22"/>
  <c r="F109" i="22"/>
  <c r="C88" i="22"/>
  <c r="H109" i="22"/>
  <c r="G109" i="22"/>
  <c r="C109" i="22"/>
  <c r="C100" i="22"/>
  <c r="D100" i="22"/>
  <c r="G100" i="22"/>
  <c r="H100" i="22"/>
  <c r="F100" i="22"/>
  <c r="E100" i="22"/>
  <c r="E88" i="22"/>
  <c r="D88" i="22"/>
  <c r="H88" i="22"/>
  <c r="F88" i="22"/>
  <c r="G88" i="22"/>
  <c r="C110" i="22" l="1"/>
  <c r="H110" i="22"/>
  <c r="D110" i="22"/>
  <c r="E110" i="22"/>
  <c r="G110" i="22"/>
  <c r="F110" i="22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3" i="26"/>
  <c r="C34" i="26"/>
  <c r="C35" i="26"/>
  <c r="C37" i="26"/>
  <c r="C38" i="26"/>
  <c r="C39" i="26"/>
  <c r="C40" i="26"/>
  <c r="C41" i="26"/>
  <c r="C42" i="26"/>
  <c r="C44" i="26"/>
  <c r="C45" i="26"/>
  <c r="C46" i="26"/>
  <c r="C47" i="26"/>
  <c r="C48" i="26"/>
  <c r="C49" i="26"/>
  <c r="C50" i="26"/>
  <c r="C51" i="26"/>
  <c r="C52" i="26"/>
  <c r="C53" i="26"/>
  <c r="C54" i="26"/>
  <c r="C5" i="26"/>
  <c r="D2" i="26"/>
  <c r="C2" i="26"/>
  <c r="H66" i="22"/>
  <c r="E12" i="18"/>
  <c r="H64" i="22"/>
  <c r="H65" i="22"/>
  <c r="E9" i="18"/>
  <c r="E10" i="18"/>
  <c r="E11" i="18"/>
  <c r="H63" i="22"/>
  <c r="H73" i="22"/>
  <c r="G65" i="22"/>
  <c r="G64" i="22"/>
  <c r="G63" i="22"/>
  <c r="G73" i="22"/>
  <c r="F63" i="22"/>
  <c r="G19" i="10"/>
  <c r="G18" i="10"/>
  <c r="G17" i="10"/>
  <c r="G16" i="10"/>
  <c r="E66" i="22"/>
  <c r="F66" i="22"/>
  <c r="F73" i="22"/>
  <c r="E73" i="22"/>
  <c r="D59" i="22"/>
  <c r="D60" i="22"/>
  <c r="C59" i="22"/>
  <c r="G47" i="2"/>
  <c r="G46" i="2"/>
  <c r="G45" i="2"/>
  <c r="G44" i="2"/>
  <c r="C58" i="22"/>
  <c r="C60" i="22"/>
  <c r="C57" i="22"/>
  <c r="F25" i="2"/>
  <c r="D73" i="22"/>
  <c r="C73" i="22"/>
  <c r="H71" i="22"/>
  <c r="G71" i="22"/>
  <c r="F71" i="22"/>
  <c r="E71" i="22"/>
  <c r="D71" i="22"/>
  <c r="C71" i="22"/>
  <c r="H72" i="22"/>
  <c r="G72" i="22"/>
  <c r="F72" i="22"/>
  <c r="E72" i="22"/>
  <c r="D72" i="22"/>
  <c r="C72" i="22"/>
  <c r="H69" i="22"/>
  <c r="G69" i="22"/>
  <c r="F69" i="22"/>
  <c r="E69" i="22"/>
  <c r="D69" i="22"/>
  <c r="C69" i="22"/>
  <c r="H70" i="22"/>
  <c r="G70" i="22"/>
  <c r="F70" i="22"/>
  <c r="E70" i="22"/>
  <c r="D70" i="22"/>
  <c r="C70" i="22"/>
  <c r="G66" i="22"/>
  <c r="D66" i="22"/>
  <c r="C66" i="22"/>
  <c r="F65" i="22"/>
  <c r="E65" i="22"/>
  <c r="D65" i="22"/>
  <c r="C65" i="22"/>
  <c r="F64" i="22"/>
  <c r="E64" i="22"/>
  <c r="D64" i="22"/>
  <c r="C64" i="22"/>
  <c r="E63" i="22"/>
  <c r="D63" i="22"/>
  <c r="C63" i="22"/>
  <c r="H60" i="22"/>
  <c r="G60" i="22"/>
  <c r="F60" i="22"/>
  <c r="E60" i="22"/>
  <c r="D41" i="24"/>
  <c r="D42" i="24"/>
  <c r="D43" i="24"/>
  <c r="D44" i="24"/>
  <c r="D45" i="24"/>
  <c r="D46" i="24"/>
  <c r="D47" i="24"/>
  <c r="D48" i="24"/>
  <c r="D49" i="24"/>
  <c r="D50" i="24"/>
  <c r="D51" i="24"/>
  <c r="D40" i="24"/>
  <c r="D34" i="24"/>
  <c r="D35" i="24"/>
  <c r="D36" i="24"/>
  <c r="D37" i="24"/>
  <c r="D38" i="24"/>
  <c r="D33" i="24"/>
  <c r="D30" i="24"/>
  <c r="D29" i="24"/>
  <c r="D17" i="24"/>
  <c r="D18" i="24"/>
  <c r="D19" i="24"/>
  <c r="D20" i="24"/>
  <c r="D21" i="24"/>
  <c r="D22" i="24"/>
  <c r="D23" i="24"/>
  <c r="D24" i="24"/>
  <c r="D25" i="24"/>
  <c r="D26" i="24"/>
  <c r="D16" i="24"/>
  <c r="D14" i="24"/>
  <c r="D6" i="24"/>
  <c r="D7" i="24"/>
  <c r="D8" i="24"/>
  <c r="D9" i="24"/>
  <c r="D10" i="24"/>
  <c r="D11" i="24"/>
  <c r="D12" i="24"/>
  <c r="D13" i="24"/>
  <c r="D5" i="24"/>
  <c r="H59" i="22"/>
  <c r="G59" i="22"/>
  <c r="F59" i="22"/>
  <c r="E59" i="22"/>
  <c r="D58" i="22"/>
  <c r="H58" i="22"/>
  <c r="G58" i="22"/>
  <c r="F58" i="22"/>
  <c r="E58" i="22"/>
  <c r="H57" i="22"/>
  <c r="G57" i="22"/>
  <c r="F57" i="22"/>
  <c r="E57" i="22"/>
  <c r="D57" i="22"/>
  <c r="H56" i="22"/>
  <c r="G56" i="22"/>
  <c r="F56" i="22"/>
  <c r="E56" i="22"/>
  <c r="D56" i="22"/>
  <c r="C56" i="22"/>
  <c r="H55" i="22"/>
  <c r="G55" i="22"/>
  <c r="F55" i="22"/>
  <c r="E55" i="22"/>
  <c r="D55" i="22"/>
  <c r="C55" i="22"/>
  <c r="C54" i="22"/>
  <c r="H54" i="22"/>
  <c r="G54" i="22"/>
  <c r="F54" i="22"/>
  <c r="E54" i="22"/>
  <c r="D54" i="22"/>
  <c r="H36" i="22"/>
  <c r="G36" i="22"/>
  <c r="F36" i="22"/>
  <c r="E36" i="22"/>
  <c r="D36" i="22"/>
  <c r="H30" i="22"/>
  <c r="G30" i="22"/>
  <c r="E30" i="22"/>
  <c r="D30" i="22"/>
  <c r="C30" i="22"/>
  <c r="E27" i="22"/>
  <c r="D27" i="22"/>
  <c r="C27" i="22"/>
  <c r="H19" i="22"/>
  <c r="G19" i="22"/>
  <c r="E19" i="22"/>
  <c r="D19" i="22"/>
  <c r="C19" i="22"/>
  <c r="C13" i="22"/>
  <c r="G9" i="22"/>
  <c r="E9" i="22"/>
  <c r="E7" i="22"/>
  <c r="D9" i="22"/>
  <c r="C7" i="22"/>
  <c r="C9" i="22"/>
  <c r="H7" i="22"/>
  <c r="D7" i="22"/>
  <c r="G3" i="22"/>
  <c r="H122" i="22" s="1"/>
  <c r="H131" i="22" s="1"/>
  <c r="F3" i="22"/>
  <c r="G122" i="22" s="1"/>
  <c r="G131" i="22" s="1"/>
  <c r="E3" i="22"/>
  <c r="F122" i="22" s="1"/>
  <c r="F131" i="22" s="1"/>
  <c r="D3" i="22"/>
  <c r="E122" i="22" s="1"/>
  <c r="E131" i="22" s="1"/>
  <c r="C3" i="22"/>
  <c r="D122" i="22" s="1"/>
  <c r="D131" i="22" s="1"/>
  <c r="B2" i="22"/>
  <c r="E2" i="27" l="1"/>
  <c r="F27" i="28"/>
  <c r="F3" i="28"/>
  <c r="F2" i="27"/>
  <c r="G3" i="28"/>
  <c r="G27" i="28"/>
  <c r="G40" i="27"/>
  <c r="H42" i="27"/>
  <c r="C2" i="27"/>
  <c r="D27" i="28"/>
  <c r="D3" i="28"/>
  <c r="D2" i="27"/>
  <c r="E27" i="28"/>
  <c r="E3" i="28"/>
  <c r="G2" i="27"/>
  <c r="H3" i="28"/>
  <c r="H27" i="28"/>
  <c r="D40" i="27"/>
  <c r="G42" i="27"/>
  <c r="H11" i="22"/>
  <c r="H28" i="27"/>
  <c r="H36" i="27" s="1"/>
  <c r="H27" i="27"/>
  <c r="H35" i="27" s="1"/>
  <c r="H32" i="27"/>
  <c r="H29" i="27"/>
  <c r="H37" i="27" s="1"/>
  <c r="H30" i="27"/>
  <c r="C27" i="27"/>
  <c r="C32" i="27"/>
  <c r="C28" i="27"/>
  <c r="C29" i="27"/>
  <c r="C30" i="27"/>
  <c r="C40" i="27"/>
  <c r="C43" i="27"/>
  <c r="C42" i="27"/>
  <c r="E52" i="27"/>
  <c r="E43" i="27"/>
  <c r="D52" i="27"/>
  <c r="D43" i="27"/>
  <c r="D42" i="27"/>
  <c r="E30" i="27"/>
  <c r="E27" i="27"/>
  <c r="E35" i="27" s="1"/>
  <c r="E32" i="27"/>
  <c r="E28" i="27"/>
  <c r="E36" i="27" s="1"/>
  <c r="E29" i="27"/>
  <c r="E37" i="27" s="1"/>
  <c r="F29" i="27"/>
  <c r="F37" i="27" s="1"/>
  <c r="F30" i="27"/>
  <c r="F28" i="27"/>
  <c r="F36" i="27" s="1"/>
  <c r="F32" i="27"/>
  <c r="F27" i="27"/>
  <c r="F35" i="27" s="1"/>
  <c r="F52" i="27"/>
  <c r="F43" i="27"/>
  <c r="E40" i="27"/>
  <c r="H40" i="27"/>
  <c r="D32" i="27"/>
  <c r="D28" i="27"/>
  <c r="D36" i="27" s="1"/>
  <c r="D29" i="27"/>
  <c r="D37" i="27" s="1"/>
  <c r="D30" i="27"/>
  <c r="D27" i="27"/>
  <c r="D35" i="27" s="1"/>
  <c r="G52" i="27"/>
  <c r="G43" i="27"/>
  <c r="F40" i="27"/>
  <c r="E42" i="27"/>
  <c r="G28" i="27"/>
  <c r="G36" i="27" s="1"/>
  <c r="G27" i="27"/>
  <c r="G35" i="27" s="1"/>
  <c r="G29" i="27"/>
  <c r="G37" i="27" s="1"/>
  <c r="G32" i="27"/>
  <c r="G30" i="27"/>
  <c r="H52" i="27"/>
  <c r="F42" i="27"/>
  <c r="C20" i="22"/>
  <c r="C16" i="27" s="1"/>
  <c r="E67" i="22"/>
  <c r="D61" i="22"/>
  <c r="E36" i="28" s="1"/>
  <c r="D67" i="22"/>
  <c r="C67" i="22"/>
  <c r="G67" i="22"/>
  <c r="F61" i="22"/>
  <c r="G36" i="28" s="1"/>
  <c r="G61" i="22"/>
  <c r="H36" i="28" s="1"/>
  <c r="H61" i="22"/>
  <c r="I36" i="28" s="1"/>
  <c r="C61" i="22"/>
  <c r="D36" i="28" s="1"/>
  <c r="E61" i="22"/>
  <c r="F36" i="28" s="1"/>
  <c r="F11" i="22"/>
  <c r="G10" i="22"/>
  <c r="G11" i="22"/>
  <c r="H7" i="28" s="1"/>
  <c r="F10" i="22"/>
  <c r="D10" i="22"/>
  <c r="F67" i="22"/>
  <c r="E10" i="22"/>
  <c r="D11" i="22"/>
  <c r="E7" i="28" s="1"/>
  <c r="H10" i="22"/>
  <c r="E11" i="22"/>
  <c r="F7" i="28" s="1"/>
  <c r="F8" i="22"/>
  <c r="F4" i="27" s="1"/>
  <c r="E14" i="22"/>
  <c r="E18" i="27" s="1"/>
  <c r="C11" i="22"/>
  <c r="D11" i="28" s="1"/>
  <c r="F14" i="22"/>
  <c r="F18" i="27" s="1"/>
  <c r="H28" i="22"/>
  <c r="G14" i="22"/>
  <c r="G18" i="27" s="1"/>
  <c r="E74" i="22"/>
  <c r="F28" i="22"/>
  <c r="G28" i="22"/>
  <c r="F31" i="22"/>
  <c r="F17" i="27" s="1"/>
  <c r="D20" i="22"/>
  <c r="D16" i="27" s="1"/>
  <c r="D14" i="22"/>
  <c r="D18" i="27" s="1"/>
  <c r="C28" i="22"/>
  <c r="G31" i="22"/>
  <c r="G17" i="27" s="1"/>
  <c r="E8" i="22"/>
  <c r="E4" i="27" s="1"/>
  <c r="D28" i="22"/>
  <c r="E28" i="22"/>
  <c r="C14" i="22"/>
  <c r="C18" i="27" s="1"/>
  <c r="E20" i="22"/>
  <c r="E16" i="27" s="1"/>
  <c r="C74" i="22"/>
  <c r="C31" i="22"/>
  <c r="C17" i="27" s="1"/>
  <c r="D74" i="22"/>
  <c r="G20" i="22"/>
  <c r="G16" i="27" s="1"/>
  <c r="D31" i="22"/>
  <c r="D17" i="27" s="1"/>
  <c r="G74" i="22"/>
  <c r="F74" i="22"/>
  <c r="H20" i="22"/>
  <c r="H16" i="27" s="1"/>
  <c r="E31" i="22"/>
  <c r="E17" i="27" s="1"/>
  <c r="H31" i="22"/>
  <c r="H17" i="27" s="1"/>
  <c r="H74" i="22"/>
  <c r="H14" i="22"/>
  <c r="H18" i="27" s="1"/>
  <c r="G8" i="22"/>
  <c r="G4" i="27" s="1"/>
  <c r="H67" i="22"/>
  <c r="H8" i="22"/>
  <c r="H4" i="27" s="1"/>
  <c r="F20" i="22"/>
  <c r="F16" i="27" s="1"/>
  <c r="I7" i="28" l="1"/>
  <c r="I9" i="28"/>
  <c r="G13" i="28"/>
  <c r="F16" i="22"/>
  <c r="E34" i="28"/>
  <c r="D12" i="28"/>
  <c r="I31" i="28"/>
  <c r="E35" i="28"/>
  <c r="E11" i="28"/>
  <c r="I32" i="28"/>
  <c r="F11" i="28"/>
  <c r="G6" i="28"/>
  <c r="D30" i="28"/>
  <c r="D6" i="28"/>
  <c r="D10" i="28"/>
  <c r="E12" i="28"/>
  <c r="H32" i="28"/>
  <c r="D31" i="28"/>
  <c r="D33" i="28"/>
  <c r="F6" i="28"/>
  <c r="G11" i="28"/>
  <c r="I5" i="28"/>
  <c r="G29" i="28"/>
  <c r="H31" i="28"/>
  <c r="I8" i="28"/>
  <c r="H8" i="28"/>
  <c r="D32" i="28"/>
  <c r="F31" i="28"/>
  <c r="H5" i="28"/>
  <c r="E13" i="28"/>
  <c r="I29" i="28"/>
  <c r="F35" i="28"/>
  <c r="I12" i="28"/>
  <c r="G33" i="28"/>
  <c r="G35" i="28"/>
  <c r="G7" i="28"/>
  <c r="E5" i="28"/>
  <c r="G5" i="28"/>
  <c r="I34" i="28"/>
  <c r="H13" i="28"/>
  <c r="G34" i="28"/>
  <c r="H10" i="28"/>
  <c r="F13" i="28"/>
  <c r="H29" i="28"/>
  <c r="H35" i="28"/>
  <c r="I33" i="28"/>
  <c r="E10" i="28"/>
  <c r="F30" i="28"/>
  <c r="F33" i="28"/>
  <c r="F8" i="28"/>
  <c r="H33" i="28"/>
  <c r="I35" i="28"/>
  <c r="I11" i="28"/>
  <c r="E33" i="28"/>
  <c r="E32" i="28"/>
  <c r="H16" i="22"/>
  <c r="H24" i="22" s="1"/>
  <c r="I14" i="28" s="1"/>
  <c r="E30" i="28"/>
  <c r="D35" i="28"/>
  <c r="G31" i="28"/>
  <c r="I10" i="28"/>
  <c r="D34" i="28"/>
  <c r="E31" i="28"/>
  <c r="E6" i="28"/>
  <c r="H12" i="28"/>
  <c r="F34" i="28"/>
  <c r="G10" i="28"/>
  <c r="H11" i="28"/>
  <c r="F32" i="28"/>
  <c r="H30" i="28"/>
  <c r="C16" i="22"/>
  <c r="C33" i="22" s="1"/>
  <c r="C39" i="22" s="1"/>
  <c r="C41" i="22" s="1"/>
  <c r="D13" i="28"/>
  <c r="D7" i="28"/>
  <c r="E29" i="28"/>
  <c r="I13" i="28"/>
  <c r="G8" i="28"/>
  <c r="I6" i="28"/>
  <c r="G32" i="28"/>
  <c r="E8" i="28"/>
  <c r="D8" i="28"/>
  <c r="I30" i="28"/>
  <c r="G30" i="28"/>
  <c r="G12" i="28"/>
  <c r="F12" i="28"/>
  <c r="H34" i="28"/>
  <c r="F5" i="28"/>
  <c r="F29" i="28"/>
  <c r="D29" i="28"/>
  <c r="D5" i="28"/>
  <c r="F10" i="28"/>
  <c r="H6" i="28"/>
  <c r="H38" i="27"/>
  <c r="J27" i="27"/>
  <c r="C35" i="27"/>
  <c r="K27" i="27"/>
  <c r="J52" i="27"/>
  <c r="K52" i="27"/>
  <c r="H46" i="27"/>
  <c r="H45" i="27" a="1"/>
  <c r="H45" i="27" s="1"/>
  <c r="H47" i="27"/>
  <c r="E46" i="27"/>
  <c r="E47" i="27"/>
  <c r="E45" i="27" a="1"/>
  <c r="E45" i="27" s="1"/>
  <c r="D46" i="27"/>
  <c r="D47" i="27"/>
  <c r="D45" i="27" a="1"/>
  <c r="D45" i="27" s="1"/>
  <c r="K17" i="27"/>
  <c r="J17" i="27"/>
  <c r="K40" i="27"/>
  <c r="J40" i="27"/>
  <c r="K43" i="27"/>
  <c r="J43" i="27"/>
  <c r="C46" i="27"/>
  <c r="C47" i="27"/>
  <c r="C45" i="27" a="1"/>
  <c r="C45" i="27" s="1"/>
  <c r="K30" i="27"/>
  <c r="J30" i="27"/>
  <c r="C51" i="27"/>
  <c r="C12" i="27"/>
  <c r="C20" i="27"/>
  <c r="J4" i="27"/>
  <c r="K4" i="27"/>
  <c r="D38" i="27"/>
  <c r="K29" i="27"/>
  <c r="J29" i="27"/>
  <c r="C37" i="27"/>
  <c r="J18" i="27"/>
  <c r="K18" i="27"/>
  <c r="J16" i="27"/>
  <c r="K16" i="27"/>
  <c r="G38" i="27"/>
  <c r="F38" i="27"/>
  <c r="E38" i="27"/>
  <c r="C36" i="27"/>
  <c r="K28" i="27"/>
  <c r="J28" i="27"/>
  <c r="F45" i="27" a="1"/>
  <c r="F45" i="27" s="1"/>
  <c r="F46" i="27"/>
  <c r="F47" i="27"/>
  <c r="G46" i="27"/>
  <c r="G45" i="27" a="1"/>
  <c r="G45" i="27" s="1"/>
  <c r="G47" i="27"/>
  <c r="K42" i="27"/>
  <c r="J42" i="27"/>
  <c r="K32" i="27"/>
  <c r="J32" i="27"/>
  <c r="C76" i="22"/>
  <c r="D42" i="28" s="1"/>
  <c r="F76" i="22"/>
  <c r="G76" i="22"/>
  <c r="H42" i="28" s="1"/>
  <c r="G12" i="22"/>
  <c r="G16" i="22"/>
  <c r="H12" i="22"/>
  <c r="D16" i="22"/>
  <c r="D12" i="22"/>
  <c r="E16" i="22"/>
  <c r="E12" i="22"/>
  <c r="F12" i="22"/>
  <c r="E76" i="22"/>
  <c r="F49" i="28" s="1"/>
  <c r="D76" i="22"/>
  <c r="E42" i="28" s="1"/>
  <c r="F17" i="22"/>
  <c r="F10" i="27" s="1"/>
  <c r="H76" i="22"/>
  <c r="I42" i="28" s="1"/>
  <c r="C17" i="22"/>
  <c r="C10" i="27" s="1"/>
  <c r="D24" i="22" l="1"/>
  <c r="E14" i="28" s="1"/>
  <c r="E17" i="22"/>
  <c r="E10" i="27" s="1"/>
  <c r="E24" i="22"/>
  <c r="F24" i="22"/>
  <c r="G14" i="28" s="1"/>
  <c r="G17" i="22"/>
  <c r="G10" i="27" s="1"/>
  <c r="G24" i="22"/>
  <c r="H17" i="22"/>
  <c r="H10" i="27" s="1"/>
  <c r="D14" i="28"/>
  <c r="D15" i="28"/>
  <c r="E49" i="28"/>
  <c r="I49" i="28"/>
  <c r="G51" i="28"/>
  <c r="G47" i="28"/>
  <c r="G41" i="28"/>
  <c r="G45" i="28"/>
  <c r="G38" i="28"/>
  <c r="G48" i="28"/>
  <c r="G46" i="28"/>
  <c r="G39" i="28"/>
  <c r="G44" i="28"/>
  <c r="G40" i="28"/>
  <c r="D51" i="28"/>
  <c r="D47" i="28"/>
  <c r="D39" i="28"/>
  <c r="D48" i="28"/>
  <c r="D46" i="28"/>
  <c r="D41" i="28"/>
  <c r="D40" i="28"/>
  <c r="D38" i="28"/>
  <c r="D45" i="28"/>
  <c r="D44" i="28"/>
  <c r="D49" i="28"/>
  <c r="G42" i="28"/>
  <c r="I51" i="28"/>
  <c r="I38" i="28"/>
  <c r="I46" i="28"/>
  <c r="I45" i="28"/>
  <c r="I48" i="28"/>
  <c r="I39" i="28"/>
  <c r="I41" i="28"/>
  <c r="I44" i="28"/>
  <c r="I40" i="28"/>
  <c r="I47" i="28"/>
  <c r="E51" i="28"/>
  <c r="E44" i="28"/>
  <c r="E48" i="28"/>
  <c r="E46" i="28"/>
  <c r="E38" i="28"/>
  <c r="E39" i="28"/>
  <c r="E47" i="28"/>
  <c r="E45" i="28"/>
  <c r="E41" i="28"/>
  <c r="E40" i="28"/>
  <c r="F51" i="28"/>
  <c r="F46" i="28"/>
  <c r="F41" i="28"/>
  <c r="F40" i="28"/>
  <c r="F47" i="28"/>
  <c r="F38" i="28"/>
  <c r="F39" i="28"/>
  <c r="F48" i="28"/>
  <c r="F44" i="28"/>
  <c r="F45" i="28"/>
  <c r="H51" i="28"/>
  <c r="H47" i="28"/>
  <c r="H48" i="28"/>
  <c r="H44" i="28"/>
  <c r="H40" i="28"/>
  <c r="H45" i="28"/>
  <c r="H39" i="28"/>
  <c r="H38" i="28"/>
  <c r="H46" i="28"/>
  <c r="H41" i="28"/>
  <c r="C38" i="27"/>
  <c r="C25" i="27"/>
  <c r="F42" i="28"/>
  <c r="G49" i="28"/>
  <c r="H49" i="28"/>
  <c r="J45" i="27"/>
  <c r="K45" i="27"/>
  <c r="C78" i="22"/>
  <c r="C50" i="27"/>
  <c r="C41" i="27"/>
  <c r="C31" i="27"/>
  <c r="H78" i="22"/>
  <c r="H50" i="27"/>
  <c r="H41" i="27"/>
  <c r="H31" i="27"/>
  <c r="D51" i="27"/>
  <c r="D25" i="27"/>
  <c r="D20" i="27"/>
  <c r="D12" i="27"/>
  <c r="D6" i="27"/>
  <c r="D78" i="22"/>
  <c r="D50" i="27"/>
  <c r="D41" i="27"/>
  <c r="D31" i="27"/>
  <c r="E78" i="22"/>
  <c r="E50" i="27"/>
  <c r="E41" i="27"/>
  <c r="E31" i="27"/>
  <c r="G78" i="22"/>
  <c r="G50" i="27"/>
  <c r="G41" i="27"/>
  <c r="G31" i="27"/>
  <c r="J47" i="27"/>
  <c r="K47" i="27"/>
  <c r="H51" i="27"/>
  <c r="H25" i="27"/>
  <c r="H20" i="27"/>
  <c r="H12" i="27"/>
  <c r="F78" i="22"/>
  <c r="F50" i="27"/>
  <c r="F41" i="27"/>
  <c r="F31" i="27"/>
  <c r="J36" i="27"/>
  <c r="K36" i="27"/>
  <c r="K37" i="27"/>
  <c r="J37" i="27"/>
  <c r="K46" i="27"/>
  <c r="J46" i="27"/>
  <c r="C24" i="27"/>
  <c r="J35" i="27"/>
  <c r="K35" i="27"/>
  <c r="D17" i="22"/>
  <c r="D10" i="27" s="1"/>
  <c r="F14" i="28"/>
  <c r="H25" i="22"/>
  <c r="H11" i="27" s="1"/>
  <c r="H33" i="22"/>
  <c r="D33" i="22"/>
  <c r="E15" i="28" s="1"/>
  <c r="D25" i="22"/>
  <c r="D11" i="27" s="1"/>
  <c r="C25" i="22"/>
  <c r="C11" i="27" s="1"/>
  <c r="K10" i="27" l="1"/>
  <c r="F51" i="27"/>
  <c r="F25" i="27"/>
  <c r="F33" i="22"/>
  <c r="F20" i="27"/>
  <c r="F12" i="27"/>
  <c r="F25" i="22"/>
  <c r="F11" i="27" s="1"/>
  <c r="C22" i="27"/>
  <c r="H5" i="27"/>
  <c r="H14" i="28"/>
  <c r="H24" i="27"/>
  <c r="I15" i="28"/>
  <c r="J10" i="27"/>
  <c r="K31" i="27"/>
  <c r="J31" i="27"/>
  <c r="E25" i="22"/>
  <c r="E11" i="27" s="1"/>
  <c r="E51" i="27"/>
  <c r="E25" i="27"/>
  <c r="E20" i="27"/>
  <c r="E6" i="27"/>
  <c r="E5" i="27"/>
  <c r="E12" i="27"/>
  <c r="F5" i="27"/>
  <c r="F6" i="27"/>
  <c r="K41" i="27"/>
  <c r="J41" i="27"/>
  <c r="J50" i="27"/>
  <c r="K50" i="27"/>
  <c r="H6" i="27"/>
  <c r="K38" i="27"/>
  <c r="J38" i="27"/>
  <c r="G25" i="22"/>
  <c r="G11" i="27" s="1"/>
  <c r="G51" i="27"/>
  <c r="G25" i="27"/>
  <c r="G6" i="27"/>
  <c r="G5" i="27"/>
  <c r="G20" i="27"/>
  <c r="G12" i="27"/>
  <c r="D39" i="22"/>
  <c r="E16" i="28" s="1"/>
  <c r="D24" i="27"/>
  <c r="G33" i="22"/>
  <c r="H15" i="28" s="1"/>
  <c r="E33" i="22"/>
  <c r="F15" i="28" s="1"/>
  <c r="C34" i="22"/>
  <c r="C13" i="27" s="1"/>
  <c r="C37" i="22"/>
  <c r="H39" i="22"/>
  <c r="I16" i="28" s="1"/>
  <c r="H34" i="22"/>
  <c r="H13" i="27" s="1"/>
  <c r="H37" i="22"/>
  <c r="D37" i="22"/>
  <c r="D34" i="22"/>
  <c r="D13" i="27" s="1"/>
  <c r="G15" i="28" l="1"/>
  <c r="F24" i="27"/>
  <c r="F34" i="22"/>
  <c r="F13" i="27" s="1"/>
  <c r="F37" i="22"/>
  <c r="F39" i="22"/>
  <c r="D16" i="28"/>
  <c r="C44" i="22"/>
  <c r="C58" i="27" s="1"/>
  <c r="K51" i="27"/>
  <c r="K5" i="27"/>
  <c r="K20" i="27"/>
  <c r="K11" i="27"/>
  <c r="K6" i="27"/>
  <c r="J5" i="27"/>
  <c r="K12" i="27"/>
  <c r="J6" i="27"/>
  <c r="H22" i="27"/>
  <c r="J11" i="27"/>
  <c r="K25" i="27"/>
  <c r="J25" i="27"/>
  <c r="J20" i="27"/>
  <c r="G39" i="22"/>
  <c r="G24" i="27"/>
  <c r="D22" i="27"/>
  <c r="D7" i="27"/>
  <c r="E39" i="22"/>
  <c r="F16" i="28" s="1"/>
  <c r="E24" i="27"/>
  <c r="J51" i="27"/>
  <c r="J12" i="27"/>
  <c r="G34" i="22"/>
  <c r="G13" i="27" s="1"/>
  <c r="G37" i="22"/>
  <c r="E34" i="22"/>
  <c r="E13" i="27" s="1"/>
  <c r="E37" i="22"/>
  <c r="H40" i="22"/>
  <c r="H14" i="27" s="1"/>
  <c r="H44" i="22"/>
  <c r="H58" i="27" s="1"/>
  <c r="D40" i="22"/>
  <c r="D14" i="27" s="1"/>
  <c r="D44" i="22"/>
  <c r="D58" i="27" s="1"/>
  <c r="C14" i="27"/>
  <c r="G16" i="28" l="1"/>
  <c r="F40" i="22"/>
  <c r="F14" i="27" s="1"/>
  <c r="F22" i="27"/>
  <c r="F44" i="22"/>
  <c r="G40" i="22"/>
  <c r="G14" i="27" s="1"/>
  <c r="H16" i="28"/>
  <c r="J13" i="27"/>
  <c r="E40" i="22"/>
  <c r="E14" i="27" s="1"/>
  <c r="E22" i="27"/>
  <c r="E7" i="27"/>
  <c r="F7" i="27"/>
  <c r="C48" i="22"/>
  <c r="C55" i="27" s="1"/>
  <c r="C57" i="27" s="1"/>
  <c r="K13" i="27"/>
  <c r="H7" i="27"/>
  <c r="E44" i="22"/>
  <c r="E45" i="22" s="1"/>
  <c r="G44" i="22"/>
  <c r="H45" i="22" s="1"/>
  <c r="G22" i="27"/>
  <c r="G7" i="27"/>
  <c r="H48" i="22"/>
  <c r="D45" i="22"/>
  <c r="D48" i="22"/>
  <c r="C45" i="22"/>
  <c r="J14" i="27" l="1"/>
  <c r="F58" i="27"/>
  <c r="F48" i="22"/>
  <c r="F55" i="27" s="1"/>
  <c r="F57" i="27" s="1"/>
  <c r="J22" i="27"/>
  <c r="J7" i="27"/>
  <c r="K14" i="27"/>
  <c r="K22" i="27"/>
  <c r="C50" i="22"/>
  <c r="C21" i="27" s="1"/>
  <c r="C23" i="27" s="1"/>
  <c r="K7" i="27"/>
  <c r="G58" i="27"/>
  <c r="G45" i="22"/>
  <c r="G48" i="22"/>
  <c r="E58" i="27"/>
  <c r="F45" i="22"/>
  <c r="E48" i="22"/>
  <c r="E55" i="27" s="1"/>
  <c r="E57" i="27" s="1"/>
  <c r="D50" i="22"/>
  <c r="D21" i="27" s="1"/>
  <c r="D23" i="27" s="1"/>
  <c r="D55" i="27"/>
  <c r="D57" i="27" s="1"/>
  <c r="H50" i="22"/>
  <c r="H21" i="27" s="1"/>
  <c r="H23" i="27" s="1"/>
  <c r="H55" i="27"/>
  <c r="H57" i="27" s="1"/>
  <c r="J58" i="27" l="1"/>
  <c r="F50" i="22"/>
  <c r="F21" i="27" s="1"/>
  <c r="F23" i="27" s="1"/>
  <c r="K58" i="27"/>
  <c r="E50" i="22"/>
  <c r="E21" i="27" s="1"/>
  <c r="E23" i="27" s="1"/>
  <c r="G50" i="22"/>
  <c r="G21" i="27" s="1"/>
  <c r="G23" i="27" s="1"/>
  <c r="G55" i="27"/>
  <c r="J55" i="27" l="1"/>
  <c r="G57" i="27"/>
  <c r="H59" i="27"/>
  <c r="H60" i="27"/>
  <c r="D60" i="27"/>
  <c r="E60" i="27"/>
  <c r="D59" i="27"/>
  <c r="E59" i="27"/>
  <c r="F59" i="27"/>
  <c r="F60" i="27"/>
  <c r="G60" i="27"/>
  <c r="G59" i="27"/>
  <c r="K55" i="27"/>
  <c r="K23" i="27"/>
  <c r="K21" i="27"/>
  <c r="J23" i="27"/>
  <c r="J21" i="27"/>
  <c r="K57" i="27" l="1"/>
  <c r="J57" i="27"/>
  <c r="J60" i="27"/>
  <c r="J59" i="27"/>
  <c r="K59" i="27"/>
  <c r="K60" i="2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<sst xmlns="http://schemas.openxmlformats.org/spreadsheetml/2006/main" count="2877" uniqueCount="838">
  <si>
    <t>Wipro Enterprises (P) Limited - Standalone Financial Statements</t>
  </si>
  <si>
    <t>FY 2020-21, FY 2021-22, FY 2022-23, FY 2023-24 and FY 2024-25</t>
  </si>
  <si>
    <t>This workbook compiles the Standalone financial statements as reported in the audited Annual Reports of</t>
  </si>
  <si>
    <t>Wipro Enterprises (P) Limited for FY2020-21, FY2021-22, FY2022-23, FY2023-24 and FY2024-25.</t>
  </si>
  <si>
    <t>Scope and basis of preparation:</t>
  </si>
  <si>
    <t>- All figures are STANDALONE (not consolidated), as reported in each year's Annual Report, in Rs. millions.</t>
  </si>
  <si>
    <t>- Figures are transcribed exactly as printed in the source PDFs - no figures have been altered, recalculated, or restated by</t>
  </si>
  <si>
    <t xml:space="preserve">  this workbook. Where a later annual report restated a prior year (e.g. FY2021 figures restated for a merger in the</t>
  </si>
  <si>
    <t xml:space="preserve">  FY2021-22 report, marked with *), both the original and the restated figures are preserved in their respective year's sheet.</t>
  </si>
  <si>
    <t>- "*" symbols used in source reports to denote amounts below Rs. 0.5 million (rounding) have been entered as 0.</t>
  </si>
  <si>
    <t>- Each statement/notes sheet cites its exact source document and page number.</t>
  </si>
  <si>
    <t>Sheets included per year: Balance Sheet, Statement of Profit and Loss, Statement of Cash Flows, and a Notes to Accounts</t>
  </si>
  <si>
    <t>sheet containing all notes with quantitative figures (Notes 4 through the schedule notes covering PP&amp;E, right-of-use</t>
  </si>
  <si>
    <t>assets, goodwill &amp; intangibles, investments, loans, other financial assets/liabilities, inventories, trade receivables/</t>
  </si>
  <si>
    <t>payables, cash, share capital, borrowings, provisions, revenue and expense breakdowns, EPS, capital commitments,</t>
  </si>
  <si>
    <t>contingent liabilities, income tax reconciliation, CSR and MSME disclosures).</t>
  </si>
  <si>
    <t>Not included (to keep the workbook to a manageable size): the extended narrative/actuarial disclosures on employee</t>
  </si>
  <si>
    <t>benefit plans (gratuity actuarial assumptions), the detailed fair-value hierarchy and financial-risk-management tables</t>
  </si>
  <si>
    <t>(interest rate/currency sensitivity, liquidity maturity ladders), the fund-by-fund listing of mutual fund investments,</t>
  </si>
  <si>
    <t>the full subsidiary/associate cap tables, and the complete related-party transaction listing. These run to dozens of</t>
  </si>
  <si>
    <t>additional pages per year in the source reports and are available in the original PDFs if needed - happy to add any of</t>
  </si>
  <si>
    <t>these on request.</t>
  </si>
  <si>
    <t>Note: the "Integrated Annual Report 2025-26.pdf" you uploaded is for Wipro Limited (the listed IT services company),</t>
  </si>
  <si>
    <t>a different legal entity from Wipro Enterprises (P) Limited, and per your instruction has been excluded from this workbook.</t>
  </si>
  <si>
    <t>Note on FY2024-25 report: the FY2024-25 Annual Report restates the FY2024 "Revenue from operations" and "Other</t>
  </si>
  <si>
    <t>expenses" comparative figures (marked "Restated, refer Note 49" in the source), and reclassifies certain FY2024 trade</t>
  </si>
  <si>
    <t>payables and derivative liability balances between current/non-current lines. These restated FY2024 figures are shown</t>
  </si>
  <si>
    <t>in the FY2024-25 sheets exactly as printed there, and may therefore differ slightly from the FY2024 figures in the</t>
  </si>
  <si>
    <t>FY2023-24 sheets (which reflect the FY2023-24 report as originally published). Both are kept unaltered per your</t>
  </si>
  <si>
    <t>instruction not to change any figures.</t>
  </si>
  <si>
    <t>Wipro Enterprises (P) Limited (Standalone)</t>
  </si>
  <si>
    <t>Balance Sheet</t>
  </si>
  <si>
    <t>Balance Sheet as at March 31, 2021 (Source: Annual Report 2020-21, WEL-Annual-Report-High-Res.pdf, p.58)</t>
  </si>
  <si>
    <t>(Amount Rs. in millions, unless otherwise stated)</t>
  </si>
  <si>
    <t>Particulars</t>
  </si>
  <si>
    <t>2021</t>
  </si>
  <si>
    <t>2020</t>
  </si>
  <si>
    <t>ASSETS</t>
  </si>
  <si>
    <t>Non-current assets</t>
  </si>
  <si>
    <t xml:space="preserve">    Property, plant and equipment</t>
  </si>
  <si>
    <t xml:space="preserve">    Capital work-in-progress</t>
  </si>
  <si>
    <t xml:space="preserve">    Right of use assets</t>
  </si>
  <si>
    <t xml:space="preserve">    Goodwill</t>
  </si>
  <si>
    <t xml:space="preserve">    Other intangible assets</t>
  </si>
  <si>
    <t xml:space="preserve">    Financial assets - Investments</t>
  </si>
  <si>
    <t xml:space="preserve">    Financial assets - Loans</t>
  </si>
  <si>
    <t xml:space="preserve">    Financial assets - Other financial assets</t>
  </si>
  <si>
    <t xml:space="preserve">    Other non-current assets</t>
  </si>
  <si>
    <t>Total non-current assets</t>
  </si>
  <si>
    <t>Current assets</t>
  </si>
  <si>
    <t xml:space="preserve">    Inventories</t>
  </si>
  <si>
    <t xml:space="preserve">    Financial assets - Trade receivables</t>
  </si>
  <si>
    <t xml:space="preserve">    Financial assets - Derivative instruments</t>
  </si>
  <si>
    <t xml:space="preserve">    Financial assets - Cash and cash equivalents</t>
  </si>
  <si>
    <t xml:space="preserve">    Current tax assets (net)</t>
  </si>
  <si>
    <t xml:space="preserve">    Other assets</t>
  </si>
  <si>
    <t>Total current assets</t>
  </si>
  <si>
    <t>TOTAL ASSETS</t>
  </si>
  <si>
    <t>EQUITY AND LIABILITIES</t>
  </si>
  <si>
    <t>Equity</t>
  </si>
  <si>
    <t xml:space="preserve">    Share capital</t>
  </si>
  <si>
    <t xml:space="preserve">    Other equity</t>
  </si>
  <si>
    <t>Total equity</t>
  </si>
  <si>
    <t>Non-current liabilities</t>
  </si>
  <si>
    <t xml:space="preserve">    Financial liabilities - Borrowings</t>
  </si>
  <si>
    <t xml:space="preserve">    Financial liabilities - Lease liabilities</t>
  </si>
  <si>
    <t xml:space="preserve">    Financial liabilities - Other financial liabilities</t>
  </si>
  <si>
    <t xml:space="preserve">    Provisions</t>
  </si>
  <si>
    <t xml:space="preserve">    Deferred tax liabilities (net)</t>
  </si>
  <si>
    <t>Total non-current liabilities</t>
  </si>
  <si>
    <t>Current liabilities</t>
  </si>
  <si>
    <t xml:space="preserve">    Financial liabilities - Derivative liabilities</t>
  </si>
  <si>
    <t xml:space="preserve">    Trade payables - dues of micro &amp; small enterprises</t>
  </si>
  <si>
    <t xml:space="preserve">    Trade payables - dues of other creditors</t>
  </si>
  <si>
    <t xml:space="preserve">    Current maturities of long-term debt</t>
  </si>
  <si>
    <t xml:space="preserve">    Other current liabilities</t>
  </si>
  <si>
    <t xml:space="preserve">    Current tax liabilities (net)</t>
  </si>
  <si>
    <t>Total current liabilities</t>
  </si>
  <si>
    <t>TOTAL EQUITY AND LIABILITIES</t>
  </si>
  <si>
    <t>Statement of Profit and Loss</t>
  </si>
  <si>
    <t>Statement of Profit and Loss for the year ended March 31, 2021 (Source: Annual Report 2020-21, p.59)</t>
  </si>
  <si>
    <t>REVENUE</t>
  </si>
  <si>
    <t>Revenue from operations</t>
  </si>
  <si>
    <t>Other income</t>
  </si>
  <si>
    <t>Total income</t>
  </si>
  <si>
    <t>EXPENSES</t>
  </si>
  <si>
    <t>Cost of materials consumed</t>
  </si>
  <si>
    <t>Purchases of stock-in-trade</t>
  </si>
  <si>
    <t>Changes in inventories of finished products, WIP and stock-in-trade</t>
  </si>
  <si>
    <t>Employee benefits expense</t>
  </si>
  <si>
    <t>Finance costs</t>
  </si>
  <si>
    <t>Depreciation and amortisation expense</t>
  </si>
  <si>
    <t>Other expenses</t>
  </si>
  <si>
    <t>Total expenses</t>
  </si>
  <si>
    <t>Profit before tax</t>
  </si>
  <si>
    <t>Tax expense</t>
  </si>
  <si>
    <t xml:space="preserve">    Current tax</t>
  </si>
  <si>
    <t xml:space="preserve">    Deferred tax</t>
  </si>
  <si>
    <t>Total tax expenses</t>
  </si>
  <si>
    <t>Profit for the year</t>
  </si>
  <si>
    <t>Other comprehensive income, net of taxes</t>
  </si>
  <si>
    <t>Items not reclassified to P&amp;L - Remeasurement of defined benefit liability/asset (net of tax)</t>
  </si>
  <si>
    <t>Items reclassified to P&amp;L - Net change in FV of financial instruments through OCI (net of tax)</t>
  </si>
  <si>
    <t>Net change in FV of cash flow hedge (net of tax)</t>
  </si>
  <si>
    <t>Total other comprehensive income for the year, net of taxes</t>
  </si>
  <si>
    <t>Total comprehensive income for the year</t>
  </si>
  <si>
    <t>Earnings per equity share (par value Rs.10 each)</t>
  </si>
  <si>
    <t>Weighted average equity shares for computing basic and diluted EPS</t>
  </si>
  <si>
    <t>Basic and diluted EPS (Rs.)</t>
  </si>
  <si>
    <t>Statement of Cash Flows</t>
  </si>
  <si>
    <t>Statement of Cash Flows for the year ended March 31, 2021 (Source: Annual Report 2020-21, p.61)</t>
  </si>
  <si>
    <t>A. Cash flows from operating activities</t>
  </si>
  <si>
    <t xml:space="preserve">    Depreciation and amortization</t>
  </si>
  <si>
    <t xml:space="preserve">    Interest on borrowings</t>
  </si>
  <si>
    <t xml:space="preserve">    Unrealized (gain)/loss on investments</t>
  </si>
  <si>
    <t xml:space="preserve">    Dividend / interest income</t>
  </si>
  <si>
    <t xml:space="preserve">    Net (gain)/loss on sale of current investments</t>
  </si>
  <si>
    <t xml:space="preserve">    Net (gain)/loss on sale of associates</t>
  </si>
  <si>
    <t xml:space="preserve">    Net (gain)/loss on sale of PP&amp;E and intangible assets</t>
  </si>
  <si>
    <t xml:space="preserve">    Allowance for doubtful receivables</t>
  </si>
  <si>
    <t xml:space="preserve">    Net foreign exchange differences on non-operating items</t>
  </si>
  <si>
    <t xml:space="preserve">    Working capital changes - Trade receivables</t>
  </si>
  <si>
    <t xml:space="preserve">    Working capital changes - Other assets</t>
  </si>
  <si>
    <t xml:space="preserve">    Working capital changes - Inventories</t>
  </si>
  <si>
    <t xml:space="preserve">    Working capital changes - Liabilities and provisions</t>
  </si>
  <si>
    <t>Cash generated from operations</t>
  </si>
  <si>
    <t>Direct taxes paid, net</t>
  </si>
  <si>
    <t>Net cash generated from operating activities</t>
  </si>
  <si>
    <t>B. Cash flows from investing activities</t>
  </si>
  <si>
    <t>Acquisition of PP&amp;E including capital advances</t>
  </si>
  <si>
    <t>Proceeds from sale of PP&amp;E</t>
  </si>
  <si>
    <t>Investment in associates</t>
  </si>
  <si>
    <t>Purchase of current investments</t>
  </si>
  <si>
    <t>Purchase of non-current investments</t>
  </si>
  <si>
    <t>Proceeds from sale/maturity of current investments</t>
  </si>
  <si>
    <t>Proceeds from sale of investment in associates</t>
  </si>
  <si>
    <t>Investment in subsidiaries</t>
  </si>
  <si>
    <t>Loan to subsidiaries</t>
  </si>
  <si>
    <t>Inter-corporate deposits placed</t>
  </si>
  <si>
    <t>Dividend / interest income received</t>
  </si>
  <si>
    <t>Net cash used in investing activities</t>
  </si>
  <si>
    <t>C. Cash flows from financing activities</t>
  </si>
  <si>
    <t>Interest paid on borrowings</t>
  </si>
  <si>
    <t>Proceeds from borrowings / debentures</t>
  </si>
  <si>
    <t>Repayment of lease liabilities</t>
  </si>
  <si>
    <t>Repayment of borrowings / loans</t>
  </si>
  <si>
    <t>Net cash generated from/(used in) financing activities</t>
  </si>
  <si>
    <t>Net increase/(decrease) in cash and cash equivalents during the year</t>
  </si>
  <si>
    <t>Cash and cash equivalents at the beginning of the year</t>
  </si>
  <si>
    <t>Cash and cash equivalents at the end of the year</t>
  </si>
  <si>
    <t>Components of cash and cash equivalents</t>
  </si>
  <si>
    <t>Balances with banks - in current accounts</t>
  </si>
  <si>
    <t>Balances with banks - in deposit accounts</t>
  </si>
  <si>
    <t>Cheques, drafts on hand</t>
  </si>
  <si>
    <t>Remittance in transit</t>
  </si>
  <si>
    <t>Cash in hand (rounded to nil, below Rs.0.5 mn)</t>
  </si>
  <si>
    <t>Notes to the Standalone Financial Statements (Selected Notes)</t>
  </si>
  <si>
    <t>Notes to the Standalone Financial Statements, year ended March 31, 2021 (Source: Annual Report 2020-21, pp.75-107)</t>
  </si>
  <si>
    <t>Note 4. Property, plant and equipment - Net carrying value</t>
  </si>
  <si>
    <t>Land</t>
  </si>
  <si>
    <t>Buildings</t>
  </si>
  <si>
    <t>Plant and Machinery</t>
  </si>
  <si>
    <t>Furniture and Fixtures</t>
  </si>
  <si>
    <t>Office Equipment</t>
  </si>
  <si>
    <t>Vehicles</t>
  </si>
  <si>
    <t>Total</t>
  </si>
  <si>
    <t>(Total gross carrying value as at March 31, 2021: 14,469; accumulated depreciation: 8,297; March 31, 2020 gross: 14,619, accumulated depreciation: 7,753)</t>
  </si>
  <si>
    <t>Note 5. Right-of-use Assets - Net carrying value</t>
  </si>
  <si>
    <t>Note 6. Goodwill and intangible assets - movement in Goodwill</t>
  </si>
  <si>
    <t>Amount at the beginning of the year</t>
  </si>
  <si>
    <t>Addition due to acquisition</t>
  </si>
  <si>
    <t>Amount at the end of the year</t>
  </si>
  <si>
    <t>Net block of other intangible assets: 766 (2021), 791 (2020) [Technical know-how 191/206; Brands, patents, trademarks &amp; others 575/585]</t>
  </si>
  <si>
    <t>Note 7. Investments</t>
  </si>
  <si>
    <t>Investment in subsidiaries - Equity shares</t>
  </si>
  <si>
    <t>Investment in subsidiaries - Preference shares</t>
  </si>
  <si>
    <t>Investment in Associates - Equity shares</t>
  </si>
  <si>
    <t>Investment in Associates - Compulsorily Convertible Preference Shares</t>
  </si>
  <si>
    <t>Financial instruments at FVTPL - Liquid and short-term mutual funds</t>
  </si>
  <si>
    <t>Financial instruments at FVTPL - Equity linked debentures</t>
  </si>
  <si>
    <t>Financial instruments at FVTPL - Convertible preference shares</t>
  </si>
  <si>
    <t>Financial instruments at FVTOCI - Non-convertible debentures and bonds</t>
  </si>
  <si>
    <t>Financial instruments at amortized cost - Tax saving bond</t>
  </si>
  <si>
    <t>Financial instruments at amortized cost - Redeemable preference shares (net of impairment)</t>
  </si>
  <si>
    <t>Total investments</t>
  </si>
  <si>
    <t>Current</t>
  </si>
  <si>
    <t>Non-current</t>
  </si>
  <si>
    <t>Aggregate quoted investments (market value, gross)</t>
  </si>
  <si>
    <t>Aggregate unquoted investments (gross)</t>
  </si>
  <si>
    <t>Aggregate impairment in value of investments</t>
  </si>
  <si>
    <t>Note 8. Loan (unsecured, considered good)</t>
  </si>
  <si>
    <t>Non-current - Security deposits</t>
  </si>
  <si>
    <t>Non-current - Loans to subsidiaries</t>
  </si>
  <si>
    <t>Total non-current</t>
  </si>
  <si>
    <t>Current - Security deposits</t>
  </si>
  <si>
    <t>Current - Inter corporate deposits</t>
  </si>
  <si>
    <t>Current - Receivables from related parties</t>
  </si>
  <si>
    <t>Total current</t>
  </si>
  <si>
    <t>Note 9. Other financial assets</t>
  </si>
  <si>
    <t>Non-current - Finance lease receivables</t>
  </si>
  <si>
    <t>Current - Contract assets</t>
  </si>
  <si>
    <t>Current - Interest receivable</t>
  </si>
  <si>
    <t>Current - Loans and advances to employees</t>
  </si>
  <si>
    <t>Current - Finance lease receivables</t>
  </si>
  <si>
    <t>Note 10. Other Assets</t>
  </si>
  <si>
    <t>Non-current - Capital advances</t>
  </si>
  <si>
    <t>Non-current - Prepaid expenses</t>
  </si>
  <si>
    <t>Non-current - Others</t>
  </si>
  <si>
    <t>Current - Advance to suppliers</t>
  </si>
  <si>
    <t>Current - Balances with government/statutory authorities</t>
  </si>
  <si>
    <t>Current - Prepaid expenses</t>
  </si>
  <si>
    <t>Current - Others (incl. claims receivable)</t>
  </si>
  <si>
    <t>Total current (net of allowance)</t>
  </si>
  <si>
    <t>Note 11. Inventories</t>
  </si>
  <si>
    <t>Raw materials</t>
  </si>
  <si>
    <t>Work in progress</t>
  </si>
  <si>
    <t>Finished products</t>
  </si>
  <si>
    <t>Traded products</t>
  </si>
  <si>
    <t>Stores and spares</t>
  </si>
  <si>
    <t>Total inventories</t>
  </si>
  <si>
    <t>Note 12. Trade receivables</t>
  </si>
  <si>
    <t>Considered good</t>
  </si>
  <si>
    <t>Credit impaired</t>
  </si>
  <si>
    <t>Less: Allowance for doubtful receivables</t>
  </si>
  <si>
    <t>Net trade receivables</t>
  </si>
  <si>
    <t>Allowance movement - Balance at beginning of year</t>
  </si>
  <si>
    <t>Allowance movement - Addition during the year, net</t>
  </si>
  <si>
    <t>Allowance movement - Uncollectable receivables charged against allowance</t>
  </si>
  <si>
    <t>Allowance movement - Balance at end of year</t>
  </si>
  <si>
    <t>Note 13. Derivative assets</t>
  </si>
  <si>
    <t>FVTOCI - Foreign exchange forward contracts</t>
  </si>
  <si>
    <t>FVTOCI - Interest rate swaps</t>
  </si>
  <si>
    <t>FVTPL - Foreign exchange forward contracts</t>
  </si>
  <si>
    <t>Note 14. Cash and cash equivalents</t>
  </si>
  <si>
    <t>Balances with banks - in current account</t>
  </si>
  <si>
    <t>Balances with banks - in deposit account</t>
  </si>
  <si>
    <t>Note 15. Share capital</t>
  </si>
  <si>
    <t>2021 Amount</t>
  </si>
  <si>
    <t>2020 Amount</t>
  </si>
  <si>
    <t>Authorized - Equity shares (par value Rs.10), 495,000,000 shares</t>
  </si>
  <si>
    <t>Authorized - 7% redeemable preference shares (par value Rs.50), 1,000,000 shares</t>
  </si>
  <si>
    <t>Total authorized capital</t>
  </si>
  <si>
    <t>Issued, subscribed &amp; fully paid-up equity shares (par value Rs.10), 483,662,163 shares</t>
  </si>
  <si>
    <t>Azim H Premji held 77.65% (375,580,988 shares) as at March 31, 2021; Azim Premji Trust held 20.29% (98,142,824 shares).</t>
  </si>
  <si>
    <t>Note 16. Borrowings</t>
  </si>
  <si>
    <t>Non-current - External commercial borrowings</t>
  </si>
  <si>
    <t>Non-current - Non convertible debentures</t>
  </si>
  <si>
    <t>Current maturities of long-term borrowings - External commercial borrowings</t>
  </si>
  <si>
    <t>Current - Short term loan from banks</t>
  </si>
  <si>
    <t>Current - Loan repayable on demand from banks</t>
  </si>
  <si>
    <t>Total current borrowings</t>
  </si>
  <si>
    <t>Note 17. Provisions</t>
  </si>
  <si>
    <t>Non-current - Provision for employee benefits</t>
  </si>
  <si>
    <t>Current - Provision for employee benefits</t>
  </si>
  <si>
    <t>Current - Provision for warranty</t>
  </si>
  <si>
    <t>Note 18. Other financial liabilities</t>
  </si>
  <si>
    <t>Non-current - Consideration payable on acquisition</t>
  </si>
  <si>
    <t>Current - Consideration payable on acquisition</t>
  </si>
  <si>
    <t>Current - Capital creditors</t>
  </si>
  <si>
    <t>Current - Interest accrued</t>
  </si>
  <si>
    <t>Current - Payable to related parties</t>
  </si>
  <si>
    <t>Note 19. Other current liabilities</t>
  </si>
  <si>
    <t>Unearned revenue</t>
  </si>
  <si>
    <t>Advances from customers</t>
  </si>
  <si>
    <t>Statutory liabilities</t>
  </si>
  <si>
    <t>Others</t>
  </si>
  <si>
    <t>Note 20. Derivative liabilities</t>
  </si>
  <si>
    <t>Note 21. Trade payables</t>
  </si>
  <si>
    <t>Dues of micro enterprises and small enterprises</t>
  </si>
  <si>
    <t>Dues of creditors other than micro/small enterprises</t>
  </si>
  <si>
    <t>Note 22. Revenue from operations</t>
  </si>
  <si>
    <t>Sale of products</t>
  </si>
  <si>
    <t>Sale of services</t>
  </si>
  <si>
    <t>Other operating income (incl. budgetary supports)</t>
  </si>
  <si>
    <t>Sale of products by category:</t>
  </si>
  <si>
    <t>Toilet soaps</t>
  </si>
  <si>
    <t>Personal care and cosmetics</t>
  </si>
  <si>
    <t>Hydraulic and pneumatic equipment</t>
  </si>
  <si>
    <t>Domestic lighting</t>
  </si>
  <si>
    <t>Commercial solutions</t>
  </si>
  <si>
    <t>Total sale of products</t>
  </si>
  <si>
    <t>Note 23. Other income</t>
  </si>
  <si>
    <t>Interest income</t>
  </si>
  <si>
    <t>Dividend income on mutual funds</t>
  </si>
  <si>
    <t>Net gain on sale of current investments</t>
  </si>
  <si>
    <t>Marked to market gain on investments</t>
  </si>
  <si>
    <t>Net gain on sale of PP&amp;E &amp; intangible assets</t>
  </si>
  <si>
    <t>Foreign exchange differences, net</t>
  </si>
  <si>
    <t>Net gain on sale of investment in associates</t>
  </si>
  <si>
    <t>Net gain on buyback of shares in associates</t>
  </si>
  <si>
    <t>Miscellaneous income</t>
  </si>
  <si>
    <t>Note 24. Cost of materials consumed</t>
  </si>
  <si>
    <t>Opening stock</t>
  </si>
  <si>
    <t>Add: Purchases</t>
  </si>
  <si>
    <t>Less: Closing stock</t>
  </si>
  <si>
    <t>Raw material consumed detail:</t>
  </si>
  <si>
    <t>Oils and fats</t>
  </si>
  <si>
    <t>Packing material</t>
  </si>
  <si>
    <t>Perfume</t>
  </si>
  <si>
    <t>Caustic soda</t>
  </si>
  <si>
    <t>Tubes, rounds and rods</t>
  </si>
  <si>
    <t>Water treatment skids, filtration skids and water treatment systems</t>
  </si>
  <si>
    <t>Casting and forging material, bearings, seals and wipers</t>
  </si>
  <si>
    <t>Total raw material consumed</t>
  </si>
  <si>
    <t>Note 25. Changes in inventories of finished goods, WIP and stock-in-trade</t>
  </si>
  <si>
    <t>Opening stock - Work-in-progress</t>
  </si>
  <si>
    <t>Opening stock - Traded products</t>
  </si>
  <si>
    <t>Opening stock - Finished products</t>
  </si>
  <si>
    <t>Total opening stock</t>
  </si>
  <si>
    <t>Addition on acquisition</t>
  </si>
  <si>
    <t>Closing stock - Work-in-progress</t>
  </si>
  <si>
    <t>Closing stock - Traded products</t>
  </si>
  <si>
    <t>Closing stock - Finished products</t>
  </si>
  <si>
    <t>Total closing stock</t>
  </si>
  <si>
    <t>Net change</t>
  </si>
  <si>
    <t>Note 26. Employee Benefit Expenses</t>
  </si>
  <si>
    <t>Salaries and wages</t>
  </si>
  <si>
    <t>Contribution to provident and other funds</t>
  </si>
  <si>
    <t>Staff welfare expenses</t>
  </si>
  <si>
    <t>Note 27. Finance costs</t>
  </si>
  <si>
    <t>Interest on borrowings</t>
  </si>
  <si>
    <t>Net (gain)/loss from exchange fluctuation on foreign currency borrowings</t>
  </si>
  <si>
    <t>Finance charge on lease liabilities</t>
  </si>
  <si>
    <t>Note 28. Depreciation and amortisation expenses</t>
  </si>
  <si>
    <t>Depreciation expense</t>
  </si>
  <si>
    <t>Amortization expense</t>
  </si>
  <si>
    <t>Note 29. Other expenses</t>
  </si>
  <si>
    <t>Consumption of stores and spares</t>
  </si>
  <si>
    <t>Processing charges</t>
  </si>
  <si>
    <t>Power and fuel</t>
  </si>
  <si>
    <t>Rent</t>
  </si>
  <si>
    <t>Rates and taxes</t>
  </si>
  <si>
    <t>Insurance</t>
  </si>
  <si>
    <t>Repairs to building</t>
  </si>
  <si>
    <t>Repairs to machinery</t>
  </si>
  <si>
    <t>Advertisement and sales promotion</t>
  </si>
  <si>
    <t>Travelling and conveyance</t>
  </si>
  <si>
    <t>Communication</t>
  </si>
  <si>
    <t>Carriage and freight</t>
  </si>
  <si>
    <t>Legal and professional charges</t>
  </si>
  <si>
    <t>Auditors' remuneration - for statutory audit</t>
  </si>
  <si>
    <t>Miscellaneous expenses</t>
  </si>
  <si>
    <t>Note 35. Earnings per share</t>
  </si>
  <si>
    <t>Profit attributable to equity shareholders (Rs. Mn)</t>
  </si>
  <si>
    <t>Earnings per share (Basic and Diluted) (Rs.)</t>
  </si>
  <si>
    <t>Note 36. Capital and other commitments</t>
  </si>
  <si>
    <t>Estimated value of contracts remaining to be executed on capital account, net of advances</t>
  </si>
  <si>
    <t>Note 37. Contingent liabilities to the extent not provided for</t>
  </si>
  <si>
    <t>Disputed demands for customs duty, sales tax and other matters</t>
  </si>
  <si>
    <t>Performance and guarantees given by banks on behalf of the Company</t>
  </si>
  <si>
    <t>Guarantees given by company</t>
  </si>
  <si>
    <t>Note 38. Income Tax</t>
  </si>
  <si>
    <t>Current income tax charge</t>
  </si>
  <si>
    <t>Creation/(reversal) of provision related to earlier years</t>
  </si>
  <si>
    <t>Total current tax</t>
  </si>
  <si>
    <t>Deferred tax - origination and reversal of temporary differences</t>
  </si>
  <si>
    <t>Deferred tax - creation/(reversal) related to earlier years</t>
  </si>
  <si>
    <t>Total deferred tax</t>
  </si>
  <si>
    <t>Income tax expense reported in the P&amp;L</t>
  </si>
  <si>
    <t>Accounting profit before income tax</t>
  </si>
  <si>
    <t>Tax at India statutory rate of 25.17%</t>
  </si>
  <si>
    <t>Effect of exempt/non-taxable income</t>
  </si>
  <si>
    <t>Tax effect due to investment income taxed at lower rates</t>
  </si>
  <si>
    <t>Tax effect due to disallowed expenses of permanent nature</t>
  </si>
  <si>
    <t>Reversal of provision related to earlier years</t>
  </si>
  <si>
    <t>Effective income tax rate (%)</t>
  </si>
  <si>
    <t>Note 43. Corporate Social Responsibility</t>
  </si>
  <si>
    <t>Amount required to be spent per Section 135 of the Companies Act</t>
  </si>
  <si>
    <t>Spent: 13 (2020: 16) on environmental sustainability; 80 (2020: 127) donated to Wipro Cares; 65 (2020: 2) on other social welfare activities.</t>
  </si>
  <si>
    <t>Note 44. Disclosure on Micro, Small and Medium Enterprises</t>
  </si>
  <si>
    <t>Principal amount and interest due, remaining unpaid to suppliers at year end</t>
  </si>
  <si>
    <t>Interest paid under MSMED Act along with payments made beyond appointed day</t>
  </si>
  <si>
    <t>Interest due/payable for delay in payment (paid but beyond appointed day)</t>
  </si>
  <si>
    <t>Interest accrued and remaining unpaid at year end</t>
  </si>
  <si>
    <t>Further interest due and payable in succeeding year</t>
  </si>
  <si>
    <t>Balance Sheet as at March 31, 2022 (Source: Annual Report 2021-22, Wipro-Enterprises-AR-2021-2022_LowRez-2.pdf, p.60). *2021 figures restated for merger, refer Note 46.</t>
  </si>
  <si>
    <t>2022</t>
  </si>
  <si>
    <t>2021*</t>
  </si>
  <si>
    <t xml:space="preserve">    Other liabilities</t>
  </si>
  <si>
    <t>Statement of Profit and Loss for the year ended March 31, 2022 (Source: Annual Report 2021-22, p.61). *2021 figures restated for merger, refer Note 46.</t>
  </si>
  <si>
    <t>Remeasurement of defined benefit liability/asset (net of tax)</t>
  </si>
  <si>
    <t>Net change in FV of financial instruments through OCI (net of tax)</t>
  </si>
  <si>
    <t>Statement of Cash Flows for the year ended March 31, 2022 (Source: Annual Report 2021-22, p.63). *2021 figures restated for merger, refer Note 46.</t>
  </si>
  <si>
    <t>Notes to the Standalone Financial Statements, year ended March 31, 2022 (Source: Annual Report 2021-22, pp.75-110)</t>
  </si>
  <si>
    <t>Note 4. Property, plant and equipment - Net carrying value (*restated for merger)</t>
  </si>
  <si>
    <t>Note 5. Capital work-in-progress - ageing (Projects in progress)</t>
  </si>
  <si>
    <t>Less than 1 year</t>
  </si>
  <si>
    <t>1-2 years</t>
  </si>
  <si>
    <t>2-3 years</t>
  </si>
  <si>
    <t>More than 3 years</t>
  </si>
  <si>
    <t>Total CWIP</t>
  </si>
  <si>
    <t>Note 6. Right-of-use assets - Net carrying value</t>
  </si>
  <si>
    <t>Note 7. Goodwill and intangible assets - movement in Goodwill</t>
  </si>
  <si>
    <t>Deletion during the year (sale of automation division)</t>
  </si>
  <si>
    <t>Net block of other intangible assets: 1,101 (2022), 766 (2021) [Technical know-how 177/191; Brands, patents, trademarks &amp; others 924/575]</t>
  </si>
  <si>
    <t>Note 8. Investments</t>
  </si>
  <si>
    <t>Investments in subsidiaries - Equity shares</t>
  </si>
  <si>
    <t>Investments in subsidiaries - Preference shares</t>
  </si>
  <si>
    <t>Investments in Associates - Equity shares</t>
  </si>
  <si>
    <t>Investments in Associates - Compulsorily convertible preference shares</t>
  </si>
  <si>
    <t>FVTPL - Liquid and short-term mutual funds</t>
  </si>
  <si>
    <t>FVTPL - Equity-linked debentures</t>
  </si>
  <si>
    <t>FVTPL - Compulsorily convertible preference shares</t>
  </si>
  <si>
    <t>FVTOCI - Non-convertible debentures and bonds</t>
  </si>
  <si>
    <t>Amortized cost - Redeemable preference shares</t>
  </si>
  <si>
    <t>Note 9. Loan (unsecured, considered good)</t>
  </si>
  <si>
    <t>Current - Loans to subsidiaries</t>
  </si>
  <si>
    <t>Note 10. Other financial assets</t>
  </si>
  <si>
    <t>Current - Others</t>
  </si>
  <si>
    <t>Note 11. Other Assets</t>
  </si>
  <si>
    <t>Note 12. Inventories</t>
  </si>
  <si>
    <t>Note 13. Trade receivables</t>
  </si>
  <si>
    <t>Non-current - Considered good</t>
  </si>
  <si>
    <t>Current - Considered good</t>
  </si>
  <si>
    <t>Current - Credit impaired - Disputed receivables</t>
  </si>
  <si>
    <t>Current - Less: Allowance for doubtful receivables</t>
  </si>
  <si>
    <t>Net current trade receivables</t>
  </si>
  <si>
    <t>Note 14. Derivative assets</t>
  </si>
  <si>
    <t>Note 15. Cash and cash equivalents</t>
  </si>
  <si>
    <t>Note 16. Share capital</t>
  </si>
  <si>
    <t>2022 Amount</t>
  </si>
  <si>
    <t>Authorized - Equity shares (par value Rs.10), 510,000,000 shares</t>
  </si>
  <si>
    <t>Azim H Premji held 77.65% (375,580,988 shares); Azim Premji Trust held 20.29% (98,142,824 shares).</t>
  </si>
  <si>
    <t>Note 17. Borrowings</t>
  </si>
  <si>
    <t>Non-current - Non convertible debentures from banks</t>
  </si>
  <si>
    <t>Non-current - Term Loans from Banks</t>
  </si>
  <si>
    <t>Current maturities - External commercial borrowings</t>
  </si>
  <si>
    <t>Note 18. Provisions</t>
  </si>
  <si>
    <t>Note 19. Other financial liabilities</t>
  </si>
  <si>
    <t>Note 20. Other liabilities</t>
  </si>
  <si>
    <t>Note 21. Derivative liabilities</t>
  </si>
  <si>
    <t>Note 22. Trade payables</t>
  </si>
  <si>
    <t>Note 23. Revenue from operations</t>
  </si>
  <si>
    <t>Other operating income</t>
  </si>
  <si>
    <t>Note 24. Other income</t>
  </si>
  <si>
    <t>Marked to market gain on investments, net</t>
  </si>
  <si>
    <t>Note 25. Cost of materials consumed</t>
  </si>
  <si>
    <t>Note 26. Changes in inventories of finished goods, WIP and stock-in-trade</t>
  </si>
  <si>
    <t>Note 27. Employee Benefit Expenses</t>
  </si>
  <si>
    <t>Note 28. Finance costs</t>
  </si>
  <si>
    <t>Note 29. Depreciation and amortisation expenses</t>
  </si>
  <si>
    <t>Note 30. Other expenses</t>
  </si>
  <si>
    <t>Marked to market loss on investments, net</t>
  </si>
  <si>
    <t>Note 36. Earnings per share</t>
  </si>
  <si>
    <t>Note 37. Capital and other commitments</t>
  </si>
  <si>
    <t>Note 38. Contingent liabilities to the extent not provided for</t>
  </si>
  <si>
    <t>Guarantees given by the Company</t>
  </si>
  <si>
    <t>Note 39. Income Tax</t>
  </si>
  <si>
    <t>Effect of exempt income</t>
  </si>
  <si>
    <t>Tax effect due to investment income taxed at differential rates</t>
  </si>
  <si>
    <t>Note 44. Corporate Social Responsibility</t>
  </si>
  <si>
    <t>Amount required to be spent by the Company during the year</t>
  </si>
  <si>
    <t>Expenditure - construction of any asset</t>
  </si>
  <si>
    <t>Expenditure - on purposes other than above</t>
  </si>
  <si>
    <t>Shortfall at the end of the year</t>
  </si>
  <si>
    <t>Note 45. Disclosure on Micro, Small and Medium Enterprises</t>
  </si>
  <si>
    <t>Balance Sheet as at March 31, 2023 (Source: Annual Report 2022-23, New-Annual_Report_Wipro_Enterprises_2022-2023.pdf, p.72)</t>
  </si>
  <si>
    <t>2023</t>
  </si>
  <si>
    <t xml:space="preserve">    Non current tax assets (net)</t>
  </si>
  <si>
    <t xml:space="preserve">    Assets held for sale</t>
  </si>
  <si>
    <t xml:space="preserve">    Financial liabilities - Derivative instruments</t>
  </si>
  <si>
    <t>Statement of Profit and Loss for the year ended March 31, 2023 (Source: Annual Report 2022-23, p.73)</t>
  </si>
  <si>
    <t>Total Expenses</t>
  </si>
  <si>
    <t>Statement of Cash Flows for the year ended March 31, 2023 (Source: Annual Report 2022-23, p.75)</t>
  </si>
  <si>
    <t>Notes to the Standalone Financial Statements, year ended March 31, 2023 (Source: Annual Report 2022-23, pp.90-136)</t>
  </si>
  <si>
    <t>Deletion during the year</t>
  </si>
  <si>
    <t>Net block of other intangible assets: 1,723 (2023), 1,101 (2022) [Technical know-how 157/177; Brands, patents, trademarks &amp; others 1,566/924]</t>
  </si>
  <si>
    <t>Note 8. Investment</t>
  </si>
  <si>
    <t>Non-current - Investments in subsidiaries - Equity shares</t>
  </si>
  <si>
    <t>Non-current - Investments in subsidiaries - Redeemable preference shares</t>
  </si>
  <si>
    <t>Non-current - Investments in Associates - Equity shares</t>
  </si>
  <si>
    <t>Non-current - Investments in Associates - Compulsorily convertible preference shares</t>
  </si>
  <si>
    <t>Non-current - FVTPL - Compulsorily convertible preference shares</t>
  </si>
  <si>
    <t>Non-current - FVTPL - Equity shares</t>
  </si>
  <si>
    <t>Non-current - FVTPL - Fixed maturity mutual funds</t>
  </si>
  <si>
    <t>Non-current - Amortized cost - Redeemable preference shares</t>
  </si>
  <si>
    <t>Total non-current investments</t>
  </si>
  <si>
    <t>Current - FVTPL - Liquid and short-term mutual funds</t>
  </si>
  <si>
    <t>Current - FVTPL - Equity-linked debentures</t>
  </si>
  <si>
    <t>Current - FVTPL - Government securities</t>
  </si>
  <si>
    <t>Current - FVTOCI - Non-convertible debentures and bonds</t>
  </si>
  <si>
    <t>Total current investments</t>
  </si>
  <si>
    <t>Note 9. Loan</t>
  </si>
  <si>
    <t>Current - Receivable on sale of financial instruments</t>
  </si>
  <si>
    <t>Non-current - Deferred trade receivable</t>
  </si>
  <si>
    <t>Non-current - Balances with government/statutory authorities</t>
  </si>
  <si>
    <t>Assets held for sale</t>
  </si>
  <si>
    <t>Non-current - Non designated hedge</t>
  </si>
  <si>
    <t>Current - Cash flow hedge</t>
  </si>
  <si>
    <t>Current maturities - Non convertible debentures from banks</t>
  </si>
  <si>
    <t>Total current maturities</t>
  </si>
  <si>
    <t>Current - Overdraft</t>
  </si>
  <si>
    <t>Current - Provision for onerous contracts</t>
  </si>
  <si>
    <t>Security deposits</t>
  </si>
  <si>
    <t>Non-current - Net investment hedge</t>
  </si>
  <si>
    <t>Non-current - Cash flow hedge</t>
  </si>
  <si>
    <t>Net income on investments carried at FVTPL</t>
  </si>
  <si>
    <t>Net income on investments carried at FVTOCI</t>
  </si>
  <si>
    <t>Profit/loss on equity/interest rate derivatives</t>
  </si>
  <si>
    <t>Royalty Income</t>
  </si>
  <si>
    <t>Note 27. Employee Benefits Expenses</t>
  </si>
  <si>
    <t>Note 29. Depreciation and amortisation</t>
  </si>
  <si>
    <t>Repairs and Maintenance - others</t>
  </si>
  <si>
    <t>Disputed demands for income tax, customs duty, sales tax and other matters</t>
  </si>
  <si>
    <t>Note 46. Corporate Social Responsibility</t>
  </si>
  <si>
    <t>Balance Sheet as at March 31, 2024 (Source: Annual Report 2023-24, Annual-Report-2023-24v1.pdf, p.82)</t>
  </si>
  <si>
    <t>2024</t>
  </si>
  <si>
    <t xml:space="preserve">    Intangible asset under development</t>
  </si>
  <si>
    <t xml:space="preserve">    Financial assets - Derivative assets</t>
  </si>
  <si>
    <t>Statement of Profit and Loss for the year ended March 31, 2024 (Source: Annual Report 2023-24, p.83)</t>
  </si>
  <si>
    <t>Statement of Cash Flows for the year ended March 31, 2024 (Source: Annual Report 2023-24, p.85)</t>
  </si>
  <si>
    <t xml:space="preserve">    Changes in fair value of investment accounted at FVTPL</t>
  </si>
  <si>
    <t xml:space="preserve">    Change in fair value of contingent consideration</t>
  </si>
  <si>
    <t>Purchase of investments</t>
  </si>
  <si>
    <t>Proceeds from sale/maturity of investments</t>
  </si>
  <si>
    <t>Payment for business acquisitions, net of cash acquired</t>
  </si>
  <si>
    <t>Amount received on liquidation of subsidiary</t>
  </si>
  <si>
    <t>Interest income received</t>
  </si>
  <si>
    <t>Dividend received</t>
  </si>
  <si>
    <t>Payment of contingent consideration</t>
  </si>
  <si>
    <t>Proceeds from borrowings</t>
  </si>
  <si>
    <t>Payment of lease liabilities</t>
  </si>
  <si>
    <t>Repayment of borrowings</t>
  </si>
  <si>
    <t>Notes to the Standalone Financial Statements, year ended March 31, 2024 (Source: Annual Report 2023-24, pp.101-143)</t>
  </si>
  <si>
    <t>Intangible asset under development: 140 (2024), 109 (2023)</t>
  </si>
  <si>
    <t>Addition during the year (business combinations)</t>
  </si>
  <si>
    <t>Net block of other intangible assets: 3,983 (2024), 1,723 (2023). Impairment charge of 568 recognized in FY2024 on brand/distribution intangibles.</t>
  </si>
  <si>
    <t>Non-current - Investments in Associates - Equity Instruments</t>
  </si>
  <si>
    <t>Non-current - FVTPL - Equity Instruments</t>
  </si>
  <si>
    <t>Current - FVTPL - Equity Instruments (quoted)</t>
  </si>
  <si>
    <t>Current - FVTPL - Non-convertible debentures and bonds</t>
  </si>
  <si>
    <t>Current - FVTPL - Exchange Traded Funds</t>
  </si>
  <si>
    <t>Current - FVTPL - Alternative Investment funds</t>
  </si>
  <si>
    <t>Current - Less: Allowance for lifetime expected credit losses</t>
  </si>
  <si>
    <t>Non-current - Non designated hedges</t>
  </si>
  <si>
    <t>Current - Net Investment hedges</t>
  </si>
  <si>
    <t>Non-current - Provision for warranty</t>
  </si>
  <si>
    <t>Total current (as reported)</t>
  </si>
  <si>
    <t>Current - Contingent Consideration</t>
  </si>
  <si>
    <t>Non-current - Non Designated Hedges</t>
  </si>
  <si>
    <t>Non-current - Cashflow Hedges</t>
  </si>
  <si>
    <t>Non-current - Net Investment Hedges</t>
  </si>
  <si>
    <t>Current - Non Designated Hedges</t>
  </si>
  <si>
    <t>Current - Cashflow Hedges</t>
  </si>
  <si>
    <t>Food Business</t>
  </si>
  <si>
    <t>Reversal of contingent consideration</t>
  </si>
  <si>
    <t>Food ingredients</t>
  </si>
  <si>
    <t>Profit or loss on equity/interest rate derivatives</t>
  </si>
  <si>
    <t>Depreciation/Impairment expense</t>
  </si>
  <si>
    <t>Amortization/Impairment expense</t>
  </si>
  <si>
    <t>CSR expenditure</t>
  </si>
  <si>
    <t>Auditors' remuneration - for out of pocket expenses</t>
  </si>
  <si>
    <t>Income exempt from tax</t>
  </si>
  <si>
    <t>Income taxed at higher/(lower) tax rates</t>
  </si>
  <si>
    <t>Expenses disallowed for tax purposes</t>
  </si>
  <si>
    <t>Taxes related to prior years</t>
  </si>
  <si>
    <t>Note 42. Disclosure on Micro, Small and Medium Enterprises</t>
  </si>
  <si>
    <t>Balance Sheet as at March 31, 2025 (Source: Annual Report 2024-25, Wipro-Annual-Report-2024-25.pdf, p.80)</t>
  </si>
  <si>
    <t>2025</t>
  </si>
  <si>
    <t>Statement of Profit and Loss for the year ended March 31, 2025 (Source: Annual Report 2024-25, p.81). Revenue from operations and Other expenses for 2024 shown as restated per Note 49 in this report; figures may therefore differ slightly from the FY2023-24 report's originally reported figures.</t>
  </si>
  <si>
    <t>Revenue from operations (Restated for 2024, refer Note 49)</t>
  </si>
  <si>
    <t>Depreciation, amortisation and impairment expense</t>
  </si>
  <si>
    <t>Other expenses (Restated for 2024, refer Note 49)</t>
  </si>
  <si>
    <t>Statement of Cash Flows for the year ended March 31, 2025 (Source: Annual Report 2024-25, pp.83-84)</t>
  </si>
  <si>
    <t xml:space="preserve">    FV change of Investment</t>
  </si>
  <si>
    <t xml:space="preserve">    Change in fair value of consideration</t>
  </si>
  <si>
    <t>Loan from subsidiaries</t>
  </si>
  <si>
    <t>Payment for contingent consideration</t>
  </si>
  <si>
    <t>Payment towards share capital reduction</t>
  </si>
  <si>
    <t>Notes to the Standalone Financial Statements, year ended March 31, 2025 (Source: Annual Report 2024-25, pp.98-137)</t>
  </si>
  <si>
    <t>Note 5. Capital work-in-progress &amp; Intangible asset under development - ageing</t>
  </si>
  <si>
    <t>CWIP - Less than 1 year</t>
  </si>
  <si>
    <t>CWIP - 1-2 years</t>
  </si>
  <si>
    <t>CWIP - 2-3 years</t>
  </si>
  <si>
    <t>CWIP - More than 3 years</t>
  </si>
  <si>
    <t>Intangible asset under development - Less than 1 year</t>
  </si>
  <si>
    <t>Intangible asset under development - 1-2 years</t>
  </si>
  <si>
    <t>Intangible asset under development - 2-3 years</t>
  </si>
  <si>
    <t>Intangible asset under development - More than 3 years</t>
  </si>
  <si>
    <t>Total Intangible asset under development</t>
  </si>
  <si>
    <t>Note 6. Right-of-use assets - movement</t>
  </si>
  <si>
    <t>Balance at beginning of year</t>
  </si>
  <si>
    <t>Additions</t>
  </si>
  <si>
    <t>Deletions</t>
  </si>
  <si>
    <t>Depreciation</t>
  </si>
  <si>
    <t>Balance at end of year</t>
  </si>
  <si>
    <t>Addition during the year</t>
  </si>
  <si>
    <t>Goodwill by segment: Consumer care and lighting 906/906; Infrastructure engineering 362/362.</t>
  </si>
  <si>
    <t>Net block of other intangible assets: 4,426 (2025), 3,983 (2024) [Technical know-how 92/100; Brands, patents, trademarks, distribution network &amp; others 4,334/3,883]</t>
  </si>
  <si>
    <t>Non-current - Investments in subsidiaries - Equity shares (unquoted)</t>
  </si>
  <si>
    <t>Non-current - Investments in subsidiaries - Redeemable preference shares (unquoted)</t>
  </si>
  <si>
    <t>Non-current - Investments in Associates - Equity Instruments, net of impairment (unquoted)</t>
  </si>
  <si>
    <t>Non-current - Investments in Associates - Compulsorily convertible preference shares (unquoted)</t>
  </si>
  <si>
    <t>Non-current - Investments in Associates - Compulsorily convertible debentures (unquoted)</t>
  </si>
  <si>
    <t>Non-current - FVTPL - Compulsorily convertible preference shares, net of impairment (unquoted)</t>
  </si>
  <si>
    <t>Non-current - FVTPL - Equity Instruments (unquoted)</t>
  </si>
  <si>
    <t>Non-current - FVTPL - Fixed maturity mutual funds (unquoted)</t>
  </si>
  <si>
    <t>Non-current - FVTOCI - Equity Instruments (unquoted)</t>
  </si>
  <si>
    <t>Non-current - Amortized cost - Redeemable preference shares (quoted)</t>
  </si>
  <si>
    <t>Non-current - Amortized cost - Fixed deposits with NBFCs (unquoted)</t>
  </si>
  <si>
    <t>Non-current - Aggregate quoted investments (market value, gross)</t>
  </si>
  <si>
    <t>Non-current - Aggregate unquoted investments (gross)</t>
  </si>
  <si>
    <t>Non-current - Aggregate impairment in value of investments</t>
  </si>
  <si>
    <t>Current - FVTPL - Liquid and short-term mutual funds (unquoted)</t>
  </si>
  <si>
    <t>Current - FVTPL - Government securities (quoted)</t>
  </si>
  <si>
    <t>Current - FVTPL - Non-convertible debentures and bonds (quoted)</t>
  </si>
  <si>
    <t>Current - FVTPL - Exchange Traded Funds (unquoted)</t>
  </si>
  <si>
    <t>Current - FVTPL - Alternative Investment funds (unquoted)</t>
  </si>
  <si>
    <t>Current - FVTOCI - Non-convertible debentures and bonds (quoted)</t>
  </si>
  <si>
    <t>Current - Amortized cost - Fixed deposits with NBFCs (unquoted)</t>
  </si>
  <si>
    <t>Current - Aggregate quoted investments (market value, gross)</t>
  </si>
  <si>
    <t>Current - Aggregate unquoted investments (gross)</t>
  </si>
  <si>
    <t>Current - Aggregate impairment in value of investments</t>
  </si>
  <si>
    <t>Note 9. Loans</t>
  </si>
  <si>
    <t>Non-current - Others (Deferred trade receivable)</t>
  </si>
  <si>
    <t>Current - Cashflow hedges</t>
  </si>
  <si>
    <t>2025 Amount</t>
  </si>
  <si>
    <t>2024 Amount</t>
  </si>
  <si>
    <t>Authorized - Equity shares (par value Rs.10), 1,010,000,000 shares (2024: 510,000,000 shares)</t>
  </si>
  <si>
    <t>Authorized - 7% redeemable preference shares (par value Rs.50), Nil shares (2024: 1,000,000 shares)</t>
  </si>
  <si>
    <t>Authorized - Non convertible redeemable preference shares (par value Rs.10), 3,990,000,000 shares (2024: Nil)</t>
  </si>
  <si>
    <t>Issued, subscribed &amp; fully paid-up equity shares (par value Rs.10), 483,658,119 shares (2024: 483,662,163 shares)</t>
  </si>
  <si>
    <t>Azim H Premji held 77.65% (375,580,988 shares) as at March 31, 2025; Azim Premji Trust held 21.85% (105,658,532 shares).</t>
  </si>
  <si>
    <t>During FY2024-25 the Company reduced its share capital by 4,044 equity shares (approved by NCLT order dated July 30, 2024), with cash payout of Rs.6.7 million to non-promoter shareholders on August 17, 2024.</t>
  </si>
  <si>
    <t>Non-current - Loan from related parties</t>
  </si>
  <si>
    <t>Current maturities - Term loan from banks</t>
  </si>
  <si>
    <t>Total current maturities of long term borrowings</t>
  </si>
  <si>
    <t>Non-current - Provision for employee benefits/gratuity</t>
  </si>
  <si>
    <t>Current - Provision for employee benefits/gratuity</t>
  </si>
  <si>
    <t>Current - Contingent consideration</t>
  </si>
  <si>
    <t>Current - Employee benefit payable</t>
  </si>
  <si>
    <t>Dividend income</t>
  </si>
  <si>
    <t>Net income on investments carried at FVTPL (realised and unrealised)</t>
  </si>
  <si>
    <t>Net income on investments carried at FVTOCI (realised)</t>
  </si>
  <si>
    <t>Note 29. Depreciation, amortisation and impairment expense</t>
  </si>
  <si>
    <t>Depreciation on PPE and ROU</t>
  </si>
  <si>
    <t>Amortization and impairment expense</t>
  </si>
  <si>
    <t>CSR</t>
  </si>
  <si>
    <t>Loss on long-term NCD</t>
  </si>
  <si>
    <t>Note 36. Basic and diluted earnings per share</t>
  </si>
  <si>
    <t>Guarantees given by banks on behalf of the Company</t>
  </si>
  <si>
    <t>Current income tax</t>
  </si>
  <si>
    <t>Deferred tax</t>
  </si>
  <si>
    <t>Tax at India statutory rate of 25.168%</t>
  </si>
  <si>
    <t>(Shortfall)/Excess amount spent at the end of the year</t>
  </si>
  <si>
    <t>Amount of previous years unspent CSR obligation spent during the year</t>
  </si>
  <si>
    <t>Years</t>
  </si>
  <si>
    <t>Income Statment</t>
  </si>
  <si>
    <t xml:space="preserve"> Sales</t>
  </si>
  <si>
    <t>sales Increase</t>
  </si>
  <si>
    <t>COGS</t>
  </si>
  <si>
    <t xml:space="preserve"> COGS%Sales</t>
  </si>
  <si>
    <t>Gross Profit</t>
  </si>
  <si>
    <t>GrossMargins</t>
  </si>
  <si>
    <t>EBITDA</t>
  </si>
  <si>
    <t>EBITDA Margins</t>
  </si>
  <si>
    <t>Interest</t>
  </si>
  <si>
    <t>interse%sales</t>
  </si>
  <si>
    <t>Deprecation%Sales</t>
  </si>
  <si>
    <t>Earnings Before Tax</t>
  </si>
  <si>
    <t>EBT% Sales</t>
  </si>
  <si>
    <t>Tax</t>
  </si>
  <si>
    <t>Effective Tax Rate</t>
  </si>
  <si>
    <t>Net Profit</t>
  </si>
  <si>
    <t>Net Profit Margins</t>
  </si>
  <si>
    <t>No. OF Equity Shares</t>
  </si>
  <si>
    <t>EPS</t>
  </si>
  <si>
    <t>Eps Increase %</t>
  </si>
  <si>
    <t>Dividend Per Share</t>
  </si>
  <si>
    <t>Dicidend payout Ratio</t>
  </si>
  <si>
    <t>Retained Earnings</t>
  </si>
  <si>
    <t>Equity Share Capital</t>
  </si>
  <si>
    <t>Reserves</t>
  </si>
  <si>
    <t>Borrowings</t>
  </si>
  <si>
    <t>Total Liabilities</t>
  </si>
  <si>
    <t xml:space="preserve"> Fixed Assets Net Block</t>
  </si>
  <si>
    <t xml:space="preserve"> </t>
  </si>
  <si>
    <t>Capital Work in Progress</t>
  </si>
  <si>
    <t>Investments</t>
  </si>
  <si>
    <t>Total  Non Current Assests</t>
  </si>
  <si>
    <t>Receivables</t>
  </si>
  <si>
    <t>Inventory</t>
  </si>
  <si>
    <t>Cash &amp; Bank</t>
  </si>
  <si>
    <t>Total Current Assests</t>
  </si>
  <si>
    <t>Total t Assests</t>
  </si>
  <si>
    <t>check</t>
  </si>
  <si>
    <t>Cash Flow Statement</t>
  </si>
  <si>
    <t>Payables</t>
  </si>
  <si>
    <t>Other Income</t>
  </si>
  <si>
    <t>Total Revenue</t>
  </si>
  <si>
    <t xml:space="preserve">  </t>
  </si>
  <si>
    <t>Employee Benefits Expenses</t>
  </si>
  <si>
    <t>D&amp;A impairment expense</t>
  </si>
  <si>
    <t xml:space="preserve">Current Borrowings </t>
  </si>
  <si>
    <t>Other current Liabilities</t>
  </si>
  <si>
    <t>Other Non- Current Liabilities</t>
  </si>
  <si>
    <t>Other Non-current Assets</t>
  </si>
  <si>
    <t>Other current Assests</t>
  </si>
  <si>
    <t>Short term Investment</t>
  </si>
  <si>
    <t xml:space="preserve">   </t>
  </si>
  <si>
    <t>`</t>
  </si>
  <si>
    <t>Profit From operation</t>
  </si>
  <si>
    <t xml:space="preserve"> Receivables</t>
  </si>
  <si>
    <t xml:space="preserve"> Inventories</t>
  </si>
  <si>
    <t xml:space="preserve"> Other WC items</t>
  </si>
  <si>
    <t>Fixed Assets Purchased</t>
  </si>
  <si>
    <t>Fixed Assets Sold</t>
  </si>
  <si>
    <t>Investments Purchased</t>
  </si>
  <si>
    <t>Investments Sold</t>
  </si>
  <si>
    <t>Investment in Group Companies</t>
  </si>
  <si>
    <t>Redemption &amp; Cancellation of Shares</t>
  </si>
  <si>
    <t>Acquisition of Companies</t>
  </si>
  <si>
    <t>Inter-Corporate Deposits</t>
  </si>
  <si>
    <t>Other Investing Items</t>
  </si>
  <si>
    <t>Cash From Investing Activities</t>
  </si>
  <si>
    <t>Proceeds from Shares</t>
  </si>
  <si>
    <t>Proceeds from Borrowings</t>
  </si>
  <si>
    <t>Repayment of Borrowings</t>
  </si>
  <si>
    <t>Interest Paid</t>
  </si>
  <si>
    <t>Dividends Paid</t>
  </si>
  <si>
    <t>Financial Liabilities</t>
  </si>
  <si>
    <t>Other Financing Items</t>
  </si>
  <si>
    <t>Cash From Financing Activities</t>
  </si>
  <si>
    <t>Interest Received/Dividends recived</t>
  </si>
  <si>
    <t xml:space="preserve">Trend </t>
  </si>
  <si>
    <t>Mean</t>
  </si>
  <si>
    <t>Median</t>
  </si>
  <si>
    <t>Sales Growth</t>
  </si>
  <si>
    <t>EBITDA Growth</t>
  </si>
  <si>
    <t>EBIT Growth</t>
  </si>
  <si>
    <t>Net Profit Gowth</t>
  </si>
  <si>
    <t>Dividend Growth</t>
  </si>
  <si>
    <t>Gross Margin</t>
  </si>
  <si>
    <t>EBITDA Margin</t>
  </si>
  <si>
    <t>EBIT Margin</t>
  </si>
  <si>
    <t>EBT Margin</t>
  </si>
  <si>
    <t>Net Profit Margin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</si>
  <si>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</si>
  <si>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</si>
  <si>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</si>
  <si>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</si>
  <si>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</si>
  <si>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</si>
  <si>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Debtors Turnover Ratio</t>
  </si>
  <si>
    <t>Ceditor Turnover Ratio</t>
  </si>
  <si>
    <t>Inventory Turnover Ratio</t>
  </si>
  <si>
    <t>Fixed Assets Turnover Ratio</t>
  </si>
  <si>
    <t>Captial Turnover Ratio</t>
  </si>
  <si>
    <t>(In Days)</t>
  </si>
  <si>
    <t>Debtor Days</t>
  </si>
  <si>
    <t>Payable Days</t>
  </si>
  <si>
    <t>Inventory Days</t>
  </si>
  <si>
    <t>Cash Conversion Cycle</t>
  </si>
  <si>
    <t>CFO/Sales</t>
  </si>
  <si>
    <t>CFO/Total Assats</t>
  </si>
  <si>
    <t>CFO/Total Debt</t>
  </si>
  <si>
    <t>DE</t>
  </si>
  <si>
    <t>EmployeeExpenses%Sales</t>
  </si>
  <si>
    <t>Emp Exp%Sales</t>
  </si>
  <si>
    <t>Deprecation&amp;Amortization %Sales</t>
  </si>
  <si>
    <t>Return on Assets</t>
  </si>
  <si>
    <t>Proprietary
Ratio</t>
  </si>
  <si>
    <t>Liquidity Analysis</t>
  </si>
  <si>
    <t>Working Capital</t>
  </si>
  <si>
    <t>Current Ratio</t>
  </si>
  <si>
    <t>Quick Ratio</t>
  </si>
  <si>
    <t>Solvency Ratio</t>
  </si>
  <si>
    <t>Financial Leverage Ratio</t>
  </si>
  <si>
    <t>Debt Service Coverage Ratio</t>
  </si>
  <si>
    <t>Net Debt</t>
  </si>
  <si>
    <t>Ratio Involving Share Information</t>
  </si>
  <si>
    <t>Dividend Payout Ratio</t>
  </si>
  <si>
    <t>Divident Yield Ratio</t>
  </si>
  <si>
    <t>Market Price Of Share</t>
  </si>
  <si>
    <t>P/E Ratio</t>
  </si>
  <si>
    <t>PEG Ratio</t>
  </si>
  <si>
    <t>PEGY Ratio</t>
  </si>
  <si>
    <r>
      <rPr>
        <b/>
        <i/>
        <sz val="9"/>
        <color theme="0" tint="-0.34998626667073579"/>
        <rFont val="Calibri"/>
        <family val="2"/>
        <scheme val="minor"/>
      </rPr>
      <t>Data Source</t>
    </r>
    <r>
      <rPr>
        <i/>
        <sz val="9"/>
        <color theme="0" tint="-0.34998626667073579"/>
        <rFont val="Calibri"/>
        <family val="2"/>
        <scheme val="minor"/>
      </rPr>
      <t>:</t>
    </r>
    <r>
      <rPr>
        <i/>
        <strike/>
        <vertAlign val="subscript"/>
        <sz val="9"/>
        <color theme="0" tint="-0.34998626667073579"/>
        <rFont val="Calibri"/>
        <family val="2"/>
        <scheme val="minor"/>
      </rPr>
      <t>https://www.moneycontrol.com/company-facts/wipro/dividends/W/</t>
    </r>
  </si>
  <si>
    <t>Growth Rate = Expected EPS Growth (%)</t>
  </si>
  <si>
    <t>Ratio Analysis-Wipro  Ltd</t>
  </si>
  <si>
    <t>EPS Growth</t>
  </si>
  <si>
    <t xml:space="preserve"> Common Size-Balance Sheet</t>
  </si>
  <si>
    <t>Common Size- Balance sheet</t>
  </si>
  <si>
    <t>Other exp</t>
  </si>
  <si>
    <t>OtherExp</t>
  </si>
  <si>
    <t>Wegithr Average Cost Of Capital</t>
  </si>
  <si>
    <t>All Figure are in INR  unless Stated Otherwise</t>
  </si>
  <si>
    <t xml:space="preserve">Weighted Average Cost of Capital </t>
  </si>
  <si>
    <t>Equity /</t>
  </si>
  <si>
    <t>Debt/</t>
  </si>
  <si>
    <t>Cost of</t>
  </si>
  <si>
    <t>Name oF Company</t>
  </si>
  <si>
    <t>Country</t>
  </si>
  <si>
    <t>Total Equity</t>
  </si>
  <si>
    <t>Total Debt</t>
  </si>
  <si>
    <t>Tax Rate 1</t>
  </si>
  <si>
    <t>Weights</t>
  </si>
  <si>
    <t>Debt</t>
  </si>
  <si>
    <t>Cost of Equity</t>
  </si>
  <si>
    <t>Iindia</t>
  </si>
  <si>
    <t>Equity Weight</t>
  </si>
  <si>
    <t>Cost of Debt</t>
  </si>
  <si>
    <t>Total Capital</t>
  </si>
  <si>
    <t>Debt Weight</t>
  </si>
  <si>
    <t>WACC</t>
  </si>
  <si>
    <t>1. Tax Rate considered as Marginal Tax Rate for the country</t>
  </si>
  <si>
    <t>Working Notes -No.1</t>
  </si>
  <si>
    <t xml:space="preserve"> STEEL AUTHORITY OF INDIA LIMITED  Dividends </t>
  </si>
  <si>
    <t>Working Note No .2 Kd</t>
  </si>
  <si>
    <t>Announcement Date</t>
  </si>
  <si>
    <t>Final Dividend (Rs)</t>
  </si>
  <si>
    <t>Interim Dividend (Rs</t>
  </si>
  <si>
    <t>Total Dividend (Rs)</t>
  </si>
  <si>
    <t>Yearly Growth rate</t>
  </si>
  <si>
    <t>Calculation oF Interest</t>
  </si>
  <si>
    <t>Pre-Tax Cost of Debt</t>
  </si>
  <si>
    <t>After Tax Cost Debt</t>
  </si>
  <si>
    <t>Avearge Growth</t>
  </si>
  <si>
    <t>CAGR</t>
  </si>
  <si>
    <t>Working Note.1(a)</t>
  </si>
  <si>
    <t>Market Price</t>
  </si>
  <si>
    <t>Taken From Nse</t>
  </si>
  <si>
    <t>D1</t>
  </si>
  <si>
    <t>Ke</t>
  </si>
  <si>
    <t xml:space="preserve">Wipro Enterprises (P) Limited </t>
  </si>
  <si>
    <t>–</t>
  </si>
  <si>
    <t>Rententation Ratio</t>
  </si>
  <si>
    <t xml:space="preserve">Book value </t>
  </si>
  <si>
    <t>Price-to-Book Ratio</t>
  </si>
  <si>
    <t xml:space="preserve"> Market Cap</t>
  </si>
  <si>
    <t>Enterprise Value</t>
  </si>
  <si>
    <t xml:space="preserve">Working Notes no.1 Parameter consider for enterprise value </t>
  </si>
  <si>
    <t>EV/EBITDA</t>
  </si>
  <si>
    <t>Enterpise Multiple</t>
  </si>
  <si>
    <t>EV/Sales</t>
  </si>
  <si>
    <t xml:space="preserve">Working Notes no.1 Parameter Expenses </t>
  </si>
  <si>
    <t>cogs</t>
  </si>
  <si>
    <t>EV/EBIT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</si>
</sst>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;\(#,##0\)"/>
    <numFmt numFmtId="165" formatCode="_ [$₹-4009]\ * #,##0.00_ ;_ [$₹-4009]\ * \-#,##0.00_ ;_ [$₹-4009]\ * &quot;-&quot;??_ ;_ @_ "/>
    <numFmt numFmtId="166" formatCode="0.0%"/>
    <numFmt numFmtId="167" formatCode="0.00&quot;x&quot;"/>
    <numFmt numFmtId="168" formatCode="0.00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  <font>
      <i/>
      <sz val="10"/>
      <name val="Calibri"/>
      <family val="2"/>
    </font>
    <font>
      <i/>
      <sz val="9"/>
      <name val="Calibri"/>
      <family val="2"/>
    </font>
    <font>
      <b/>
      <u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i/>
      <sz val="9"/>
      <color theme="0" tint="-0.499984740745262"/>
      <name val="Calibri"/>
      <family val="2"/>
    </font>
    <font>
      <i/>
      <sz val="11"/>
      <color theme="0" tint="-0.499984740745262"/>
      <name val="Calibri"/>
      <family val="2"/>
    </font>
    <font>
      <i/>
      <sz val="11"/>
      <color theme="0" tint="-0.34998626667073579"/>
      <name val="Calibri"/>
      <family val="2"/>
    </font>
    <font>
      <sz val="11"/>
      <color theme="0" tint="-0.34998626667073579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u/>
      <sz val="11"/>
      <name val="Calibri"/>
      <family val="2"/>
    </font>
    <font>
      <i/>
      <sz val="11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i/>
      <sz val="9"/>
      <color theme="0" tint="-0.34998626667073579"/>
      <name val="Calibri"/>
      <family val="2"/>
      <scheme val="minor"/>
    </font>
    <font>
      <b/>
      <i/>
      <sz val="9"/>
      <color theme="0" tint="-0.34998626667073579"/>
      <name val="Calibri"/>
      <family val="2"/>
      <scheme val="minor"/>
    </font>
    <font>
      <i/>
      <strike/>
      <vertAlign val="subscript"/>
      <sz val="9"/>
      <color theme="0" tint="-0.34998626667073579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  <font>
      <i/>
      <sz val="11"/>
      <name val="Calibri"/>
      <family val="2"/>
    </font>
    <font>
      <b/>
      <sz val="13"/>
      <color rgb="FFFFFFFF"/>
      <name val="Arial"/>
      <family val="2"/>
    </font>
    <font>
      <i/>
      <sz val="10"/>
      <color theme="1"/>
      <name val="Calibri"/>
      <family val="2"/>
    </font>
    <font>
      <sz val="11"/>
      <color rgb="FF3333FF"/>
      <name val="Calibri"/>
      <family val="2"/>
    </font>
    <font>
      <b/>
      <sz val="11"/>
      <color rgb="FF3333FF"/>
      <name val="Calibri"/>
      <family val="2"/>
    </font>
    <font>
      <sz val="11"/>
      <color rgb="FF3333FF"/>
      <name val="Segoe UI"/>
      <family val="2"/>
    </font>
    <font>
      <sz val="11"/>
      <color theme="0" tint="-4.9989318521683403E-2"/>
      <name val="Calibri"/>
      <family val="2"/>
      <charset val="1"/>
    </font>
    <font>
      <sz val="11"/>
      <color theme="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1A3C5E"/>
        <bgColor rgb="FF33333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dotted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theme="4" tint="-0.499984740745262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4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center"/>
    </xf>
    <xf numFmtId="0" fontId="7" fillId="0" borderId="0" xfId="0" applyFont="1"/>
    <xf numFmtId="164" fontId="0" fillId="0" borderId="0" xfId="0" applyNumberFormat="1"/>
    <xf numFmtId="0" fontId="4" fillId="0" borderId="1" xfId="0" applyFont="1" applyBorder="1"/>
    <xf numFmtId="164" fontId="4" fillId="0" borderId="1" xfId="0" applyNumberFormat="1" applyFont="1" applyBorder="1"/>
    <xf numFmtId="0" fontId="4" fillId="0" borderId="2" xfId="0" applyFont="1" applyBorder="1"/>
    <xf numFmtId="164" fontId="4" fillId="0" borderId="2" xfId="0" applyNumberFormat="1" applyFont="1" applyBorder="1"/>
    <xf numFmtId="0" fontId="10" fillId="2" borderId="0" xfId="0" applyFont="1" applyFill="1"/>
    <xf numFmtId="17" fontId="10" fillId="2" borderId="0" xfId="0" applyNumberFormat="1" applyFont="1" applyFill="1"/>
    <xf numFmtId="0" fontId="10" fillId="3" borderId="0" xfId="0" applyFont="1" applyFill="1"/>
    <xf numFmtId="17" fontId="10" fillId="3" borderId="0" xfId="0" applyNumberFormat="1" applyFont="1" applyFill="1"/>
    <xf numFmtId="0" fontId="9" fillId="4" borderId="0" xfId="0" applyFont="1" applyFill="1"/>
    <xf numFmtId="0" fontId="0" fillId="4" borderId="0" xfId="0" applyFill="1"/>
    <xf numFmtId="0" fontId="9" fillId="3" borderId="0" xfId="0" applyFont="1" applyFill="1"/>
    <xf numFmtId="0" fontId="0" fillId="3" borderId="0" xfId="0" applyFill="1"/>
    <xf numFmtId="165" fontId="0" fillId="0" borderId="0" xfId="0" applyNumberFormat="1"/>
    <xf numFmtId="0" fontId="11" fillId="0" borderId="0" xfId="0" applyFont="1"/>
    <xf numFmtId="10" fontId="12" fillId="0" borderId="0" xfId="2" applyNumberFormat="1" applyFont="1"/>
    <xf numFmtId="0" fontId="12" fillId="0" borderId="0" xfId="0" applyFont="1"/>
    <xf numFmtId="0" fontId="0" fillId="0" borderId="3" xfId="0" applyBorder="1"/>
    <xf numFmtId="39" fontId="0" fillId="0" borderId="3" xfId="0" applyNumberFormat="1" applyBorder="1"/>
    <xf numFmtId="165" fontId="0" fillId="0" borderId="3" xfId="0" applyNumberFormat="1" applyBorder="1"/>
    <xf numFmtId="0" fontId="13" fillId="0" borderId="0" xfId="0" applyFont="1"/>
    <xf numFmtId="10" fontId="13" fillId="0" borderId="0" xfId="2" applyNumberFormat="1" applyFont="1"/>
    <xf numFmtId="10" fontId="0" fillId="0" borderId="0" xfId="2" applyNumberFormat="1" applyFont="1"/>
    <xf numFmtId="166" fontId="14" fillId="0" borderId="0" xfId="2" applyNumberFormat="1" applyFont="1"/>
    <xf numFmtId="43" fontId="8" fillId="0" borderId="0" xfId="1" applyFont="1" applyBorder="1"/>
    <xf numFmtId="43" fontId="15" fillId="0" borderId="0" xfId="1" applyFont="1" applyBorder="1"/>
    <xf numFmtId="165" fontId="9" fillId="0" borderId="0" xfId="0" applyNumberFormat="1" applyFont="1"/>
    <xf numFmtId="43" fontId="0" fillId="0" borderId="0" xfId="1" applyFont="1" applyBorder="1"/>
    <xf numFmtId="0" fontId="16" fillId="0" borderId="0" xfId="0" applyFont="1"/>
    <xf numFmtId="39" fontId="0" fillId="0" borderId="0" xfId="0" applyNumberFormat="1"/>
    <xf numFmtId="0" fontId="15" fillId="0" borderId="0" xfId="0" applyFont="1"/>
    <xf numFmtId="164" fontId="17" fillId="0" borderId="1" xfId="0" applyNumberFormat="1" applyFont="1" applyBorder="1"/>
    <xf numFmtId="164" fontId="17" fillId="0" borderId="2" xfId="0" applyNumberFormat="1" applyFont="1" applyBorder="1"/>
    <xf numFmtId="0" fontId="0" fillId="0" borderId="1" xfId="0" applyFont="1" applyBorder="1"/>
    <xf numFmtId="0" fontId="4" fillId="0" borderId="3" xfId="0" applyFont="1" applyBorder="1"/>
    <xf numFmtId="164" fontId="18" fillId="0" borderId="0" xfId="0" applyNumberFormat="1" applyFont="1"/>
    <xf numFmtId="0" fontId="17" fillId="0" borderId="0" xfId="0" applyFont="1" applyBorder="1"/>
    <xf numFmtId="39" fontId="15" fillId="0" borderId="3" xfId="0" applyNumberFormat="1" applyFont="1" applyBorder="1"/>
    <xf numFmtId="0" fontId="19" fillId="0" borderId="4" xfId="0" applyFont="1" applyBorder="1"/>
    <xf numFmtId="0" fontId="15" fillId="0" borderId="3" xfId="0" applyFont="1" applyBorder="1"/>
    <xf numFmtId="17" fontId="10" fillId="2" borderId="0" xfId="0" applyNumberFormat="1" applyFont="1" applyFill="1" applyAlignment="1">
      <alignment horizontal="center"/>
    </xf>
    <xf numFmtId="0" fontId="0" fillId="0" borderId="5" xfId="0" applyBorder="1"/>
    <xf numFmtId="10" fontId="0" fillId="0" borderId="5" xfId="2" applyNumberFormat="1" applyFont="1" applyBorder="1"/>
    <xf numFmtId="10" fontId="0" fillId="0" borderId="0" xfId="2" applyNumberFormat="1" applyFont="1" applyBorder="1"/>
    <xf numFmtId="0" fontId="0" fillId="0" borderId="6" xfId="0" applyBorder="1"/>
    <xf numFmtId="10" fontId="0" fillId="0" borderId="6" xfId="2" applyNumberFormat="1" applyFont="1" applyBorder="1"/>
    <xf numFmtId="0" fontId="0" fillId="0" borderId="7" xfId="0" applyBorder="1"/>
    <xf numFmtId="10" fontId="0" fillId="0" borderId="7" xfId="2" applyNumberFormat="1" applyFont="1" applyBorder="1"/>
    <xf numFmtId="0" fontId="0" fillId="0" borderId="8" xfId="0" applyBorder="1"/>
    <xf numFmtId="10" fontId="0" fillId="0" borderId="8" xfId="2" applyNumberFormat="1" applyFont="1" applyBorder="1"/>
    <xf numFmtId="167" fontId="0" fillId="0" borderId="8" xfId="2" applyNumberFormat="1" applyFont="1" applyBorder="1"/>
    <xf numFmtId="167" fontId="0" fillId="0" borderId="7" xfId="2" applyNumberFormat="1" applyFont="1" applyBorder="1"/>
    <xf numFmtId="167" fontId="0" fillId="0" borderId="0" xfId="2" applyNumberFormat="1" applyFont="1" applyBorder="1"/>
    <xf numFmtId="167" fontId="0" fillId="0" borderId="0" xfId="2" applyNumberFormat="1" applyFont="1"/>
    <xf numFmtId="1" fontId="0" fillId="0" borderId="7" xfId="0" applyNumberFormat="1" applyBorder="1"/>
    <xf numFmtId="1" fontId="0" fillId="0" borderId="0" xfId="0" applyNumberFormat="1"/>
    <xf numFmtId="1" fontId="0" fillId="0" borderId="8" xfId="0" applyNumberFormat="1" applyBorder="1"/>
    <xf numFmtId="10" fontId="0" fillId="0" borderId="9" xfId="2" applyNumberFormat="1" applyFont="1" applyBorder="1"/>
    <xf numFmtId="0" fontId="0" fillId="0" borderId="10" xfId="0" applyBorder="1"/>
    <xf numFmtId="10" fontId="0" fillId="0" borderId="10" xfId="2" applyNumberFormat="1" applyFont="1" applyBorder="1"/>
    <xf numFmtId="168" fontId="0" fillId="0" borderId="10" xfId="0" applyNumberFormat="1" applyBorder="1"/>
    <xf numFmtId="0" fontId="0" fillId="0" borderId="0" xfId="0" applyAlignment="1"/>
    <xf numFmtId="0" fontId="15" fillId="0" borderId="0" xfId="0" applyFont="1" applyAlignment="1"/>
    <xf numFmtId="0" fontId="0" fillId="0" borderId="0" xfId="0" applyBorder="1"/>
    <xf numFmtId="168" fontId="0" fillId="0" borderId="0" xfId="0" applyNumberFormat="1" applyBorder="1"/>
    <xf numFmtId="0" fontId="0" fillId="0" borderId="7" xfId="0" applyBorder="1" applyAlignment="1"/>
    <xf numFmtId="165" fontId="2" fillId="0" borderId="7" xfId="0" applyNumberFormat="1" applyFont="1" applyBorder="1"/>
    <xf numFmtId="168" fontId="0" fillId="0" borderId="8" xfId="0" applyNumberFormat="1" applyBorder="1"/>
    <xf numFmtId="2" fontId="0" fillId="0" borderId="7" xfId="0" applyNumberFormat="1" applyBorder="1"/>
    <xf numFmtId="2" fontId="0" fillId="0" borderId="0" xfId="0" applyNumberFormat="1" applyBorder="1"/>
    <xf numFmtId="165" fontId="2" fillId="0" borderId="8" xfId="0" applyNumberFormat="1" applyFont="1" applyBorder="1"/>
    <xf numFmtId="0" fontId="20" fillId="0" borderId="0" xfId="0" applyFont="1"/>
    <xf numFmtId="10" fontId="0" fillId="0" borderId="0" xfId="0" applyNumberFormat="1"/>
    <xf numFmtId="0" fontId="21" fillId="0" borderId="0" xfId="0" applyFont="1"/>
    <xf numFmtId="0" fontId="22" fillId="0" borderId="0" xfId="0" applyFont="1"/>
    <xf numFmtId="168" fontId="0" fillId="0" borderId="7" xfId="0" applyNumberFormat="1" applyBorder="1"/>
    <xf numFmtId="2" fontId="0" fillId="0" borderId="8" xfId="0" applyNumberFormat="1" applyBorder="1"/>
    <xf numFmtId="10" fontId="0" fillId="0" borderId="3" xfId="2" applyNumberFormat="1" applyFont="1" applyBorder="1"/>
    <xf numFmtId="17" fontId="9" fillId="0" borderId="11" xfId="0" applyNumberFormat="1" applyFont="1" applyBorder="1"/>
    <xf numFmtId="17" fontId="9" fillId="0" borderId="0" xfId="0" applyNumberFormat="1" applyFont="1"/>
    <xf numFmtId="0" fontId="26" fillId="0" borderId="0" xfId="0" applyFont="1"/>
    <xf numFmtId="0" fontId="27" fillId="0" borderId="0" xfId="0" applyFont="1"/>
    <xf numFmtId="2" fontId="12" fillId="0" borderId="0" xfId="2" applyNumberFormat="1" applyFont="1"/>
    <xf numFmtId="0" fontId="9" fillId="6" borderId="0" xfId="0" applyFont="1" applyFill="1"/>
    <xf numFmtId="0" fontId="0" fillId="6" borderId="0" xfId="0" applyFill="1"/>
    <xf numFmtId="0" fontId="29" fillId="0" borderId="0" xfId="0" applyFont="1"/>
    <xf numFmtId="0" fontId="9" fillId="0" borderId="0" xfId="0" applyFont="1"/>
    <xf numFmtId="0" fontId="9" fillId="0" borderId="8" xfId="0" applyFont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0" fontId="30" fillId="0" borderId="1" xfId="0" applyFont="1" applyBorder="1" applyAlignment="1">
      <alignment horizontal="center"/>
    </xf>
    <xf numFmtId="4" fontId="0" fillId="0" borderId="0" xfId="0" applyNumberFormat="1"/>
    <xf numFmtId="10" fontId="30" fillId="0" borderId="0" xfId="0" applyNumberFormat="1" applyFont="1"/>
    <xf numFmtId="10" fontId="0" fillId="7" borderId="0" xfId="2" applyNumberFormat="1" applyFont="1" applyFill="1"/>
    <xf numFmtId="10" fontId="8" fillId="0" borderId="0" xfId="2" applyNumberFormat="1"/>
    <xf numFmtId="0" fontId="30" fillId="0" borderId="0" xfId="0" applyFont="1" applyAlignment="1">
      <alignment horizontal="center"/>
    </xf>
    <xf numFmtId="10" fontId="30" fillId="0" borderId="0" xfId="0" applyNumberFormat="1" applyFont="1" applyAlignment="1">
      <alignment horizontal="center"/>
    </xf>
    <xf numFmtId="2" fontId="30" fillId="0" borderId="0" xfId="0" applyNumberFormat="1" applyFont="1"/>
    <xf numFmtId="4" fontId="0" fillId="0" borderId="1" xfId="0" applyNumberFormat="1" applyBorder="1"/>
    <xf numFmtId="10" fontId="30" fillId="0" borderId="1" xfId="0" applyNumberFormat="1" applyFont="1" applyBorder="1" applyAlignment="1">
      <alignment horizontal="center"/>
    </xf>
    <xf numFmtId="10" fontId="0" fillId="7" borderId="1" xfId="2" applyNumberFormat="1" applyFont="1" applyFill="1" applyBorder="1"/>
    <xf numFmtId="2" fontId="32" fillId="8" borderId="1" xfId="0" applyNumberFormat="1" applyFont="1" applyFill="1" applyBorder="1" applyAlignment="1">
      <alignment vertical="center" wrapText="1"/>
    </xf>
    <xf numFmtId="0" fontId="9" fillId="9" borderId="0" xfId="0" applyFont="1" applyFill="1"/>
    <xf numFmtId="10" fontId="9" fillId="9" borderId="0" xfId="0" applyNumberFormat="1" applyFont="1" applyFill="1"/>
    <xf numFmtId="0" fontId="0" fillId="0" borderId="0" xfId="0" applyAlignment="1">
      <alignment horizontal="center"/>
    </xf>
    <xf numFmtId="0" fontId="34" fillId="10" borderId="0" xfId="0" applyFont="1" applyFill="1"/>
    <xf numFmtId="0" fontId="9" fillId="0" borderId="4" xfId="0" applyFont="1" applyBorder="1"/>
    <xf numFmtId="168" fontId="0" fillId="0" borderId="0" xfId="0" applyNumberFormat="1"/>
    <xf numFmtId="10" fontId="8" fillId="0" borderId="5" xfId="2" applyNumberFormat="1" applyBorder="1"/>
    <xf numFmtId="0" fontId="0" fillId="11" borderId="0" xfId="0" applyFill="1"/>
    <xf numFmtId="10" fontId="8" fillId="11" borderId="0" xfId="2" applyNumberFormat="1" applyFill="1"/>
    <xf numFmtId="0" fontId="0" fillId="12" borderId="0" xfId="0" applyFill="1"/>
    <xf numFmtId="10" fontId="0" fillId="12" borderId="0" xfId="0" applyNumberFormat="1" applyFill="1"/>
    <xf numFmtId="10" fontId="8" fillId="12" borderId="0" xfId="2" applyNumberFormat="1" applyFill="1"/>
    <xf numFmtId="0" fontId="0" fillId="13" borderId="0" xfId="0" applyFill="1"/>
    <xf numFmtId="0" fontId="0" fillId="14" borderId="0" xfId="0" applyFill="1"/>
    <xf numFmtId="2" fontId="0" fillId="14" borderId="0" xfId="0" applyNumberFormat="1" applyFill="1"/>
    <xf numFmtId="10" fontId="8" fillId="14" borderId="0" xfId="2" applyNumberFormat="1" applyFill="1"/>
    <xf numFmtId="0" fontId="0" fillId="0" borderId="0" xfId="0" applyAlignment="1">
      <alignment horizontal="right" vertical="center" wrapText="1"/>
    </xf>
    <xf numFmtId="0" fontId="15" fillId="0" borderId="0" xfId="0" applyFont="1" applyAlignment="1">
      <alignment horizontal="right" vertical="center" wrapText="1"/>
    </xf>
    <xf numFmtId="0" fontId="15" fillId="0" borderId="0" xfId="0" applyFont="1" applyAlignment="1">
      <alignment vertical="center" wrapText="1"/>
    </xf>
    <xf numFmtId="0" fontId="0" fillId="0" borderId="0" xfId="0"/>
    <xf numFmtId="0" fontId="0" fillId="0" borderId="0" xfId="0" applyFill="1" applyBorder="1"/>
    <xf numFmtId="2" fontId="0" fillId="0" borderId="0" xfId="0" applyNumberFormat="1"/>
    <xf numFmtId="165" fontId="1" fillId="0" borderId="0" xfId="0" applyNumberFormat="1" applyFont="1"/>
    <xf numFmtId="17" fontId="0" fillId="0" borderId="0" xfId="0" applyNumberFormat="1"/>
    <xf numFmtId="0" fontId="0" fillId="0" borderId="0" xfId="0" applyAlignment="1">
      <alignment horizontal="left"/>
    </xf>
    <xf numFmtId="43" fontId="8" fillId="0" borderId="0" xfId="1" applyFont="1" applyBorder="1" applyAlignment="1">
      <alignment horizontal="left"/>
    </xf>
    <xf numFmtId="43" fontId="0" fillId="0" borderId="0" xfId="1" applyFont="1" applyBorder="1" applyAlignment="1">
      <alignment horizontal="left"/>
    </xf>
    <xf numFmtId="0" fontId="0" fillId="0" borderId="0" xfId="0"/>
    <xf numFmtId="0" fontId="0" fillId="0" borderId="0" xfId="0"/>
    <xf numFmtId="0" fontId="10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/>
    <xf numFmtId="0" fontId="28" fillId="5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1" fillId="0" borderId="1" xfId="0" applyFont="1" applyBorder="1" applyAlignment="1">
      <alignment horizontal="center"/>
    </xf>
    <xf numFmtId="0" fontId="0" fillId="0" borderId="1" xfId="0" applyBorder="1"/>
    <xf numFmtId="0" fontId="33" fillId="10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194235</xdr:colOff>
      <xdr:row>112</xdr:row>
      <xdr:rowOff>171823</xdr:rowOff>
    </xdr:from>
    <xdr:to>
      <xdr:col>12</xdr:col>
      <xdr:colOff>121009</xdr:colOff>
      <xdr:row>115</xdr:row>
      <xdr:rowOff>68318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168510-2C98-06D9-B7D7-44F8B915D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2411" y="20267705"/>
          <a:ext cx="5006774" cy="4343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Wipro(AutoRecovered).xlsx" TargetMode="External"/><Relationship Id="rId1" Type="http://schemas.openxmlformats.org/officeDocument/2006/relationships/externalLinkPath" Target="/Users/DELL/Downloads/Wipro(Auto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s&gt;"/>
      <sheetName val="HistoriaclFS"/>
      <sheetName val=" Ratio Analysis"/>
      <sheetName val="Cash Flow Data"/>
      <sheetName val="Data Sheet"/>
      <sheetName val="C0MMON _SIZE"/>
      <sheetName val="Forecasting"/>
    </sheetNames>
    <sheetDataSet>
      <sheetData sheetId="0"/>
      <sheetData sheetId="1"/>
      <sheetData sheetId="2"/>
      <sheetData sheetId="3"/>
      <sheetData sheetId="4">
        <row r="1">
          <cell r="C1" t="str">
            <v>Wipro Ltd</v>
          </cell>
        </row>
        <row r="16">
          <cell r="E16">
            <v>43921</v>
          </cell>
          <cell r="F16">
            <v>44286</v>
          </cell>
          <cell r="G16">
            <v>44651</v>
          </cell>
          <cell r="H16">
            <v>45016</v>
          </cell>
          <cell r="I16">
            <v>45382</v>
          </cell>
          <cell r="J16">
            <v>45747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537400C-6B77-40DE-A16C-EA5C9FDB894F}">
  <we:reference id="wa200000113" version="1.0.0.0" store="en-IN" storeType="OMEX"/>
  <we:alternateReferences>
    <we:reference id="WA200000113" version="1.0.0.0" store="" storeType="OMEX"/>
  </we:alternateReferences>
  <we:properties/>
  <we:bindings/>
  <we:snapshot xmlns:r="http://schemas.openxmlformats.org/officeDocument/2006/relationships"/>
</we:webextension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workbookViewId="0">
      <selection activeCell="A88" sqref="A88"/>
    </sheetView>
  </sheetViews>
  <sheetFormatPr defaultRowHeight="14.4" x14ac:dyDescent="0.3"/>
  <cols>
    <col min="1" max="1" width="115" customWidth="1"/>
  </cols>
  <sheetData>
    <row r="1" spans="1:1" ht="17.399999999999999" x14ac:dyDescent="0.35">
      <c r="A1" s="1" t="s">
        <v>0</v>
      </c>
    </row>
    <row r="2" spans="1:1" x14ac:dyDescent="0.3">
      <c r="A2" s="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x14ac:dyDescent="0.3">
      <c r="A7" s="2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5" spans="1:1" x14ac:dyDescent="0.3">
      <c r="A15" s="2" t="s">
        <v>11</v>
      </c>
    </row>
    <row r="16" spans="1:1" x14ac:dyDescent="0.3">
      <c r="A16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1" spans="1:1" x14ac:dyDescent="0.3">
      <c r="A21" s="2" t="s">
        <v>16</v>
      </c>
    </row>
    <row r="22" spans="1:1" x14ac:dyDescent="0.3">
      <c r="A22" t="s">
        <v>17</v>
      </c>
    </row>
    <row r="23" spans="1:1" x14ac:dyDescent="0.3">
      <c r="A23" t="s">
        <v>18</v>
      </c>
    </row>
    <row r="24" spans="1:1" x14ac:dyDescent="0.3">
      <c r="A24" t="s">
        <v>19</v>
      </c>
    </row>
    <row r="25" spans="1:1" x14ac:dyDescent="0.3">
      <c r="A25" t="s">
        <v>20</v>
      </c>
    </row>
    <row r="26" spans="1:1" x14ac:dyDescent="0.3">
      <c r="A26" t="s">
        <v>21</v>
      </c>
    </row>
    <row r="28" spans="1:1" x14ac:dyDescent="0.3">
      <c r="A28" s="2" t="s">
        <v>22</v>
      </c>
    </row>
    <row r="29" spans="1:1" x14ac:dyDescent="0.3">
      <c r="A29" t="s">
        <v>23</v>
      </c>
    </row>
    <row r="31" spans="1:1" x14ac:dyDescent="0.3">
      <c r="A31" t="s">
        <v>24</v>
      </c>
    </row>
    <row r="32" spans="1:1" x14ac:dyDescent="0.3">
      <c r="A32" t="s">
        <v>25</v>
      </c>
    </row>
    <row r="33" spans="1:1" x14ac:dyDescent="0.3">
      <c r="A33" t="s">
        <v>26</v>
      </c>
    </row>
    <row r="34" spans="1:1" x14ac:dyDescent="0.3">
      <c r="A34" t="s">
        <v>27</v>
      </c>
    </row>
    <row r="35" spans="1:1" x14ac:dyDescent="0.3">
      <c r="A35" t="s">
        <v>28</v>
      </c>
    </row>
    <row r="36" spans="1:1" x14ac:dyDescent="0.3">
      <c r="A36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workbookViewId="0">
      <pane ySplit="4" topLeftCell="A5" activePane="bottomLeft" state="frozen"/>
      <selection pane="bottomLeft" activeCell="C16" sqref="C16"/>
    </sheetView>
  </sheetViews>
  <sheetFormatPr defaultRowHeight="14.4" x14ac:dyDescent="0.3"/>
  <cols>
    <col min="1" max="1" width="58" customWidth="1"/>
    <col min="2" max="3" width="18" customWidth="1"/>
    <col min="4" max="4" width="4" customWidth="1"/>
  </cols>
  <sheetData>
    <row r="1" spans="1:6" ht="17.399999999999999" x14ac:dyDescent="0.35">
      <c r="A1" s="1" t="s">
        <v>30</v>
      </c>
    </row>
    <row r="2" spans="1:6" x14ac:dyDescent="0.3">
      <c r="A2" s="2" t="s">
        <v>79</v>
      </c>
    </row>
    <row r="3" spans="1:6" x14ac:dyDescent="0.3">
      <c r="A3" s="3" t="s">
        <v>80</v>
      </c>
    </row>
    <row r="4" spans="1:6" x14ac:dyDescent="0.3">
      <c r="A4" s="4" t="s">
        <v>33</v>
      </c>
    </row>
    <row r="6" spans="1:6" x14ac:dyDescent="0.3">
      <c r="A6" s="2" t="s">
        <v>34</v>
      </c>
      <c r="B6" s="5" t="s">
        <v>35</v>
      </c>
      <c r="C6" s="5" t="s">
        <v>36</v>
      </c>
    </row>
    <row r="7" spans="1:6" x14ac:dyDescent="0.3">
      <c r="A7" s="6" t="s">
        <v>81</v>
      </c>
    </row>
    <row r="8" spans="1:6" x14ac:dyDescent="0.3">
      <c r="A8" t="s">
        <v>82</v>
      </c>
      <c r="B8" s="7">
        <v>51658</v>
      </c>
      <c r="C8" s="7">
        <v>47775</v>
      </c>
    </row>
    <row r="9" spans="1:6" x14ac:dyDescent="0.3">
      <c r="A9" t="s">
        <v>83</v>
      </c>
      <c r="B9" s="7">
        <v>6905</v>
      </c>
      <c r="C9" s="7">
        <v>4900</v>
      </c>
    </row>
    <row r="10" spans="1:6" x14ac:dyDescent="0.3">
      <c r="A10" s="8" t="s">
        <v>84</v>
      </c>
      <c r="B10" s="9">
        <v>58563</v>
      </c>
      <c r="C10" s="9">
        <v>52675</v>
      </c>
    </row>
    <row r="11" spans="1:6" x14ac:dyDescent="0.3">
      <c r="A11" s="6" t="s">
        <v>85</v>
      </c>
    </row>
    <row r="12" spans="1:6" x14ac:dyDescent="0.3">
      <c r="A12" t="s">
        <v>86</v>
      </c>
      <c r="B12" s="7">
        <v>21255</v>
      </c>
      <c r="C12" s="7">
        <v>16125</v>
      </c>
    </row>
    <row r="13" spans="1:6" x14ac:dyDescent="0.3">
      <c r="A13" t="s">
        <v>87</v>
      </c>
      <c r="B13" s="7">
        <v>8407</v>
      </c>
      <c r="C13" s="7">
        <v>9470</v>
      </c>
    </row>
    <row r="14" spans="1:6" x14ac:dyDescent="0.3">
      <c r="A14" t="s">
        <v>88</v>
      </c>
      <c r="B14" s="7">
        <v>341</v>
      </c>
      <c r="C14" s="7">
        <v>-288</v>
      </c>
    </row>
    <row r="15" spans="1:6" x14ac:dyDescent="0.3">
      <c r="A15" t="s">
        <v>89</v>
      </c>
      <c r="B15" s="7">
        <v>4518</v>
      </c>
      <c r="C15" s="7">
        <v>4077</v>
      </c>
    </row>
    <row r="16" spans="1:6" x14ac:dyDescent="0.3">
      <c r="A16" t="s">
        <v>90</v>
      </c>
      <c r="B16" s="7">
        <v>762</v>
      </c>
      <c r="C16" s="7">
        <v>113</v>
      </c>
      <c r="F16" s="7" t="s">
        <v>676</v>
      </c>
    </row>
    <row r="17" spans="1:3" x14ac:dyDescent="0.3">
      <c r="A17" t="s">
        <v>91</v>
      </c>
      <c r="B17" s="7">
        <v>914</v>
      </c>
      <c r="C17" s="7">
        <v>956</v>
      </c>
    </row>
    <row r="18" spans="1:3" x14ac:dyDescent="0.3">
      <c r="A18" t="s">
        <v>92</v>
      </c>
      <c r="B18" s="7">
        <v>11101</v>
      </c>
      <c r="C18" s="7">
        <v>11893</v>
      </c>
    </row>
    <row r="19" spans="1:3" x14ac:dyDescent="0.3">
      <c r="A19" s="8" t="s">
        <v>93</v>
      </c>
      <c r="B19" s="9">
        <v>47298</v>
      </c>
      <c r="C19" s="9">
        <v>42347</v>
      </c>
    </row>
    <row r="20" spans="1:3" x14ac:dyDescent="0.3">
      <c r="A20" s="8" t="s">
        <v>94</v>
      </c>
      <c r="B20" s="9">
        <v>11265</v>
      </c>
      <c r="C20" s="9">
        <v>10328</v>
      </c>
    </row>
    <row r="21" spans="1:3" x14ac:dyDescent="0.3">
      <c r="A21" s="6" t="s">
        <v>95</v>
      </c>
    </row>
    <row r="22" spans="1:3" x14ac:dyDescent="0.3">
      <c r="A22" t="s">
        <v>96</v>
      </c>
      <c r="B22" s="7">
        <v>1910</v>
      </c>
      <c r="C22" s="7">
        <v>2179</v>
      </c>
    </row>
    <row r="23" spans="1:3" x14ac:dyDescent="0.3">
      <c r="A23" t="s">
        <v>97</v>
      </c>
      <c r="B23" s="7">
        <v>225</v>
      </c>
      <c r="C23" s="7">
        <v>-26</v>
      </c>
    </row>
    <row r="24" spans="1:3" x14ac:dyDescent="0.3">
      <c r="A24" s="8" t="s">
        <v>98</v>
      </c>
      <c r="B24" s="9">
        <v>2135</v>
      </c>
      <c r="C24" s="9">
        <v>2153</v>
      </c>
    </row>
    <row r="25" spans="1:3" x14ac:dyDescent="0.3">
      <c r="A25" s="8" t="s">
        <v>99</v>
      </c>
      <c r="B25" s="9">
        <v>9130</v>
      </c>
      <c r="C25" s="9">
        <v>8175</v>
      </c>
    </row>
    <row r="26" spans="1:3" x14ac:dyDescent="0.3">
      <c r="A26" s="6" t="s">
        <v>100</v>
      </c>
    </row>
    <row r="27" spans="1:3" x14ac:dyDescent="0.3">
      <c r="A27" t="s">
        <v>101</v>
      </c>
      <c r="B27" s="7">
        <v>-1</v>
      </c>
      <c r="C27" s="7">
        <v>24</v>
      </c>
    </row>
    <row r="28" spans="1:3" x14ac:dyDescent="0.3">
      <c r="A28" t="s">
        <v>102</v>
      </c>
      <c r="B28" s="7">
        <v>408</v>
      </c>
      <c r="C28" s="7">
        <v>349</v>
      </c>
    </row>
    <row r="29" spans="1:3" x14ac:dyDescent="0.3">
      <c r="A29" t="s">
        <v>103</v>
      </c>
      <c r="B29" s="7">
        <v>65</v>
      </c>
      <c r="C29" s="7">
        <v>-36</v>
      </c>
    </row>
    <row r="30" spans="1:3" x14ac:dyDescent="0.3">
      <c r="A30" s="8" t="s">
        <v>104</v>
      </c>
      <c r="B30" s="9">
        <v>472</v>
      </c>
      <c r="C30" s="9">
        <v>337</v>
      </c>
    </row>
    <row r="31" spans="1:3" x14ac:dyDescent="0.3">
      <c r="A31" s="10" t="s">
        <v>105</v>
      </c>
      <c r="B31" s="11">
        <v>9602</v>
      </c>
      <c r="C31" s="11">
        <v>8512</v>
      </c>
    </row>
    <row r="32" spans="1:3" x14ac:dyDescent="0.3">
      <c r="A32" s="6" t="s">
        <v>106</v>
      </c>
    </row>
    <row r="33" spans="1:3" x14ac:dyDescent="0.3">
      <c r="A33" t="s">
        <v>107</v>
      </c>
      <c r="B33" s="7">
        <v>483662163</v>
      </c>
      <c r="C33" s="7">
        <v>483662163</v>
      </c>
    </row>
    <row r="34" spans="1:3" x14ac:dyDescent="0.3">
      <c r="A34" t="s">
        <v>108</v>
      </c>
      <c r="B34" s="7">
        <v>18.88</v>
      </c>
      <c r="C34" s="7">
        <v>16.899999999999999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2"/>
  <sheetViews>
    <sheetView workbookViewId="0">
      <pane ySplit="4" topLeftCell="A33" activePane="bottomLeft" state="frozen"/>
      <selection pane="bottomLeft" activeCell="C41" sqref="C41"/>
    </sheetView>
  </sheetViews>
  <sheetFormatPr defaultRowHeight="14.4" x14ac:dyDescent="0.3"/>
  <cols>
    <col min="1" max="1" width="58" customWidth="1"/>
    <col min="2" max="3" width="18" customWidth="1"/>
    <col min="4" max="4" width="4" customWidth="1"/>
  </cols>
  <sheetData>
    <row r="1" spans="1:6" ht="17.399999999999999" x14ac:dyDescent="0.35">
      <c r="A1" s="1" t="s">
        <v>30</v>
      </c>
    </row>
    <row r="2" spans="1:6" x14ac:dyDescent="0.3">
      <c r="A2" s="2" t="s">
        <v>109</v>
      </c>
    </row>
    <row r="3" spans="1:6" x14ac:dyDescent="0.3">
      <c r="A3" s="3" t="s">
        <v>110</v>
      </c>
    </row>
    <row r="4" spans="1:6" x14ac:dyDescent="0.3">
      <c r="A4" s="4" t="s">
        <v>33</v>
      </c>
    </row>
    <row r="6" spans="1:6" x14ac:dyDescent="0.3">
      <c r="A6" s="2" t="s">
        <v>700</v>
      </c>
      <c r="B6" s="5" t="s">
        <v>35</v>
      </c>
      <c r="C6" s="5" t="s">
        <v>36</v>
      </c>
    </row>
    <row r="7" spans="1:6" x14ac:dyDescent="0.3">
      <c r="A7" s="6" t="s">
        <v>111</v>
      </c>
    </row>
    <row r="8" spans="1:6" x14ac:dyDescent="0.3">
      <c r="A8" t="s">
        <v>94</v>
      </c>
      <c r="B8" s="7">
        <v>11264</v>
      </c>
      <c r="C8" s="7">
        <v>10328</v>
      </c>
    </row>
    <row r="9" spans="1:6" x14ac:dyDescent="0.3">
      <c r="A9" t="s">
        <v>112</v>
      </c>
      <c r="B9" s="7">
        <v>915</v>
      </c>
      <c r="C9" s="7">
        <v>956</v>
      </c>
    </row>
    <row r="10" spans="1:6" x14ac:dyDescent="0.3">
      <c r="A10" t="s">
        <v>113</v>
      </c>
      <c r="B10" s="7">
        <v>762</v>
      </c>
      <c r="C10" s="7">
        <v>113</v>
      </c>
    </row>
    <row r="11" spans="1:6" x14ac:dyDescent="0.3">
      <c r="A11" t="s">
        <v>114</v>
      </c>
      <c r="B11" s="7">
        <v>-1718</v>
      </c>
      <c r="C11" s="7">
        <v>-658</v>
      </c>
    </row>
    <row r="12" spans="1:6" x14ac:dyDescent="0.3">
      <c r="A12" t="s">
        <v>115</v>
      </c>
      <c r="B12" s="7">
        <v>-2030</v>
      </c>
      <c r="C12" s="7">
        <v>-1877</v>
      </c>
      <c r="F12" s="7"/>
    </row>
    <row r="13" spans="1:6" x14ac:dyDescent="0.3">
      <c r="A13" t="s">
        <v>116</v>
      </c>
      <c r="B13" s="7">
        <v>-998</v>
      </c>
      <c r="C13" s="7">
        <v>-915</v>
      </c>
      <c r="F13" s="7"/>
    </row>
    <row r="14" spans="1:6" x14ac:dyDescent="0.3">
      <c r="A14" t="s">
        <v>117</v>
      </c>
      <c r="B14" s="7">
        <v>-1762</v>
      </c>
      <c r="C14" s="7">
        <v>-1185</v>
      </c>
      <c r="F14" s="7"/>
    </row>
    <row r="15" spans="1:6" x14ac:dyDescent="0.3">
      <c r="A15" t="s">
        <v>118</v>
      </c>
      <c r="B15" s="7">
        <v>-32</v>
      </c>
      <c r="C15" s="7">
        <v>-2</v>
      </c>
      <c r="F15" s="7"/>
    </row>
    <row r="16" spans="1:6" x14ac:dyDescent="0.3">
      <c r="A16" t="s">
        <v>119</v>
      </c>
      <c r="B16" s="7">
        <v>-5</v>
      </c>
      <c r="C16" s="7">
        <v>129</v>
      </c>
      <c r="F16" s="7"/>
    </row>
    <row r="17" spans="1:6" x14ac:dyDescent="0.3">
      <c r="A17" t="s">
        <v>120</v>
      </c>
      <c r="B17" s="7">
        <v>-7</v>
      </c>
      <c r="C17" s="7">
        <v>11</v>
      </c>
      <c r="F17" s="7"/>
    </row>
    <row r="18" spans="1:6" x14ac:dyDescent="0.3">
      <c r="A18" t="s">
        <v>121</v>
      </c>
      <c r="B18" s="7">
        <v>-3137</v>
      </c>
      <c r="C18" s="7">
        <v>1351</v>
      </c>
    </row>
    <row r="19" spans="1:6" x14ac:dyDescent="0.3">
      <c r="A19" t="s">
        <v>122</v>
      </c>
      <c r="B19" s="7">
        <v>922</v>
      </c>
      <c r="C19" s="7">
        <v>-1299</v>
      </c>
    </row>
    <row r="20" spans="1:6" x14ac:dyDescent="0.3">
      <c r="A20" t="s">
        <v>123</v>
      </c>
      <c r="B20" s="7">
        <v>68</v>
      </c>
      <c r="C20" s="7">
        <v>386</v>
      </c>
    </row>
    <row r="21" spans="1:6" x14ac:dyDescent="0.3">
      <c r="A21" t="s">
        <v>124</v>
      </c>
      <c r="B21" s="7">
        <v>2126</v>
      </c>
      <c r="C21" s="7">
        <v>-1767</v>
      </c>
    </row>
    <row r="22" spans="1:6" x14ac:dyDescent="0.3">
      <c r="A22" s="8" t="s">
        <v>125</v>
      </c>
      <c r="B22" s="9">
        <v>6368</v>
      </c>
      <c r="C22" s="9">
        <v>5571</v>
      </c>
    </row>
    <row r="23" spans="1:6" x14ac:dyDescent="0.3">
      <c r="A23" t="s">
        <v>126</v>
      </c>
      <c r="B23" s="7">
        <v>-1698</v>
      </c>
      <c r="C23" s="7">
        <v>-1843</v>
      </c>
    </row>
    <row r="24" spans="1:6" x14ac:dyDescent="0.3">
      <c r="A24" s="8" t="s">
        <v>127</v>
      </c>
      <c r="B24" s="9">
        <v>4670</v>
      </c>
      <c r="C24" s="9">
        <v>3728</v>
      </c>
    </row>
    <row r="25" spans="1:6" x14ac:dyDescent="0.3">
      <c r="A25" s="6" t="s">
        <v>128</v>
      </c>
    </row>
    <row r="26" spans="1:6" x14ac:dyDescent="0.3">
      <c r="A26" t="s">
        <v>129</v>
      </c>
      <c r="B26" s="7">
        <v>-511</v>
      </c>
      <c r="C26" s="7">
        <v>-851</v>
      </c>
    </row>
    <row r="27" spans="1:6" x14ac:dyDescent="0.3">
      <c r="A27" t="s">
        <v>130</v>
      </c>
      <c r="B27" s="7">
        <v>32</v>
      </c>
      <c r="C27" s="7">
        <v>2</v>
      </c>
    </row>
    <row r="28" spans="1:6" x14ac:dyDescent="0.3">
      <c r="A28" t="s">
        <v>131</v>
      </c>
      <c r="B28" s="7">
        <v>-105</v>
      </c>
      <c r="C28" s="7">
        <v>-40</v>
      </c>
    </row>
    <row r="29" spans="1:6" x14ac:dyDescent="0.3">
      <c r="A29" t="s">
        <v>132</v>
      </c>
      <c r="B29" s="7">
        <v>-100542</v>
      </c>
      <c r="C29" s="7">
        <v>-110863</v>
      </c>
    </row>
    <row r="30" spans="1:6" x14ac:dyDescent="0.3">
      <c r="A30" t="s">
        <v>133</v>
      </c>
      <c r="B30" s="7">
        <v>-150</v>
      </c>
      <c r="C30" s="7">
        <v>-534</v>
      </c>
    </row>
    <row r="31" spans="1:6" x14ac:dyDescent="0.3">
      <c r="A31" t="s">
        <v>134</v>
      </c>
      <c r="B31" s="7">
        <v>102688</v>
      </c>
      <c r="C31" s="7">
        <v>106374</v>
      </c>
    </row>
    <row r="32" spans="1:6" x14ac:dyDescent="0.3">
      <c r="A32" t="s">
        <v>135</v>
      </c>
      <c r="B32" s="7">
        <v>1774</v>
      </c>
      <c r="C32" s="7">
        <v>1195</v>
      </c>
    </row>
    <row r="33" spans="1:3" x14ac:dyDescent="0.3">
      <c r="A33" t="s">
        <v>136</v>
      </c>
      <c r="B33" s="7">
        <v>-5398</v>
      </c>
      <c r="C33" s="7">
        <v>-125</v>
      </c>
    </row>
    <row r="34" spans="1:3" x14ac:dyDescent="0.3">
      <c r="A34" t="s">
        <v>137</v>
      </c>
      <c r="B34" s="7">
        <v>-16448</v>
      </c>
      <c r="C34" s="7">
        <v>0</v>
      </c>
    </row>
    <row r="35" spans="1:3" x14ac:dyDescent="0.3">
      <c r="A35" t="s">
        <v>138</v>
      </c>
      <c r="B35" s="7">
        <v>-3518</v>
      </c>
      <c r="C35" s="7">
        <v>0</v>
      </c>
    </row>
    <row r="36" spans="1:3" x14ac:dyDescent="0.3">
      <c r="A36" t="s">
        <v>139</v>
      </c>
      <c r="B36" s="7">
        <v>1047</v>
      </c>
      <c r="C36" s="7">
        <v>1218</v>
      </c>
    </row>
    <row r="37" spans="1:3" x14ac:dyDescent="0.3">
      <c r="A37" s="8" t="s">
        <v>140</v>
      </c>
      <c r="B37" s="9">
        <v>-21131</v>
      </c>
      <c r="C37" s="9">
        <v>-3624</v>
      </c>
    </row>
    <row r="38" spans="1:3" x14ac:dyDescent="0.3">
      <c r="A38" s="6" t="s">
        <v>141</v>
      </c>
    </row>
    <row r="39" spans="1:3" x14ac:dyDescent="0.3">
      <c r="A39" t="s">
        <v>142</v>
      </c>
      <c r="B39" s="7">
        <v>-742</v>
      </c>
      <c r="C39" s="7">
        <v>-88</v>
      </c>
    </row>
    <row r="40" spans="1:3" x14ac:dyDescent="0.3">
      <c r="A40" t="s">
        <v>143</v>
      </c>
      <c r="B40" s="7">
        <v>17677</v>
      </c>
      <c r="C40" s="7">
        <v>161</v>
      </c>
    </row>
    <row r="41" spans="1:3" x14ac:dyDescent="0.3">
      <c r="A41" t="s">
        <v>144</v>
      </c>
      <c r="B41" s="7">
        <v>-77</v>
      </c>
      <c r="C41" s="7">
        <v>-86</v>
      </c>
    </row>
    <row r="42" spans="1:3" x14ac:dyDescent="0.3">
      <c r="A42" t="s">
        <v>145</v>
      </c>
      <c r="B42" s="7">
        <v>-201</v>
      </c>
      <c r="C42" s="7">
        <v>-310</v>
      </c>
    </row>
    <row r="43" spans="1:3" x14ac:dyDescent="0.3">
      <c r="A43" s="8" t="s">
        <v>146</v>
      </c>
      <c r="B43" s="9">
        <v>16657</v>
      </c>
      <c r="C43" s="9">
        <v>-323</v>
      </c>
    </row>
    <row r="44" spans="1:3" x14ac:dyDescent="0.3">
      <c r="A44" s="8" t="s">
        <v>147</v>
      </c>
      <c r="B44" s="9">
        <v>197</v>
      </c>
      <c r="C44" s="9">
        <v>-220</v>
      </c>
    </row>
    <row r="45" spans="1:3" x14ac:dyDescent="0.3">
      <c r="A45" t="s">
        <v>148</v>
      </c>
      <c r="B45" s="7">
        <v>1350</v>
      </c>
      <c r="C45" s="7">
        <v>1570</v>
      </c>
    </row>
    <row r="46" spans="1:3" x14ac:dyDescent="0.3">
      <c r="A46" s="10" t="s">
        <v>149</v>
      </c>
      <c r="B46" s="11">
        <v>1547</v>
      </c>
      <c r="C46" s="11">
        <v>1350</v>
      </c>
    </row>
    <row r="47" spans="1:3" x14ac:dyDescent="0.3">
      <c r="A47" s="6" t="s">
        <v>150</v>
      </c>
    </row>
    <row r="48" spans="1:3" x14ac:dyDescent="0.3">
      <c r="A48" t="s">
        <v>151</v>
      </c>
      <c r="B48" s="7">
        <v>691</v>
      </c>
      <c r="C48" s="7">
        <v>1135</v>
      </c>
    </row>
    <row r="49" spans="1:3" x14ac:dyDescent="0.3">
      <c r="A49" t="s">
        <v>152</v>
      </c>
      <c r="B49" s="7">
        <v>80</v>
      </c>
      <c r="C49" s="7">
        <v>90</v>
      </c>
    </row>
    <row r="50" spans="1:3" x14ac:dyDescent="0.3">
      <c r="A50" t="s">
        <v>153</v>
      </c>
      <c r="B50" s="7">
        <v>768</v>
      </c>
      <c r="C50" s="7">
        <v>120</v>
      </c>
    </row>
    <row r="51" spans="1:3" x14ac:dyDescent="0.3">
      <c r="A51" t="s">
        <v>154</v>
      </c>
      <c r="B51" s="7">
        <v>7</v>
      </c>
      <c r="C51" s="7">
        <v>4</v>
      </c>
    </row>
    <row r="52" spans="1:3" x14ac:dyDescent="0.3">
      <c r="A52" t="s">
        <v>155</v>
      </c>
      <c r="B52" s="7">
        <v>0</v>
      </c>
      <c r="C52" s="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>
      <pane ySplit="4" topLeftCell="A39" activePane="bottomLeft" state="frozen"/>
      <selection pane="bottomLeft" activeCell="B38" sqref="B38"/>
    </sheetView>
  </sheetViews>
  <sheetFormatPr defaultRowHeight="14.4" x14ac:dyDescent="0.3"/>
  <cols>
    <col min="1" max="1" width="58" customWidth="1"/>
    <col min="2" max="3" width="18" customWidth="1"/>
    <col min="4" max="4" width="4" customWidth="1"/>
  </cols>
  <sheetData>
    <row r="1" spans="1:3" ht="17.399999999999999" x14ac:dyDescent="0.35">
      <c r="A1" s="1" t="s">
        <v>30</v>
      </c>
    </row>
    <row r="2" spans="1:3" x14ac:dyDescent="0.3">
      <c r="A2" s="2" t="s">
        <v>31</v>
      </c>
    </row>
    <row r="3" spans="1:3" x14ac:dyDescent="0.3">
      <c r="A3" s="3" t="s">
        <v>32</v>
      </c>
    </row>
    <row r="4" spans="1:3" x14ac:dyDescent="0.3">
      <c r="A4" s="4" t="s">
        <v>33</v>
      </c>
    </row>
    <row r="6" spans="1:3" x14ac:dyDescent="0.3">
      <c r="A6" s="2" t="s">
        <v>34</v>
      </c>
      <c r="B6" s="5" t="s">
        <v>35</v>
      </c>
      <c r="C6" s="5" t="s">
        <v>36</v>
      </c>
    </row>
    <row r="7" spans="1:3" x14ac:dyDescent="0.3">
      <c r="A7" s="6" t="s">
        <v>37</v>
      </c>
    </row>
    <row r="8" spans="1:3" x14ac:dyDescent="0.3">
      <c r="A8" s="6" t="s">
        <v>38</v>
      </c>
    </row>
    <row r="9" spans="1:3" x14ac:dyDescent="0.3">
      <c r="A9" t="s">
        <v>39</v>
      </c>
      <c r="B9" s="7">
        <v>6172</v>
      </c>
      <c r="C9" s="7">
        <v>6866</v>
      </c>
    </row>
    <row r="10" spans="1:3" x14ac:dyDescent="0.3">
      <c r="A10" t="s">
        <v>40</v>
      </c>
      <c r="B10" s="7">
        <v>984</v>
      </c>
      <c r="C10" s="7">
        <v>578</v>
      </c>
    </row>
    <row r="11" spans="1:3" x14ac:dyDescent="0.3">
      <c r="A11" t="s">
        <v>41</v>
      </c>
      <c r="B11" s="7">
        <v>853</v>
      </c>
      <c r="C11" s="7">
        <v>948</v>
      </c>
    </row>
    <row r="12" spans="1:3" x14ac:dyDescent="0.3">
      <c r="A12" t="s">
        <v>42</v>
      </c>
      <c r="B12" s="7">
        <v>497</v>
      </c>
      <c r="C12" s="7">
        <v>497</v>
      </c>
    </row>
    <row r="13" spans="1:3" x14ac:dyDescent="0.3">
      <c r="A13" t="s">
        <v>43</v>
      </c>
      <c r="B13" s="7">
        <v>766</v>
      </c>
      <c r="C13" s="7">
        <v>791</v>
      </c>
    </row>
    <row r="14" spans="1:3" x14ac:dyDescent="0.3">
      <c r="A14" t="s">
        <v>44</v>
      </c>
      <c r="B14" s="7">
        <v>30726</v>
      </c>
      <c r="C14" s="7">
        <v>24560</v>
      </c>
    </row>
    <row r="15" spans="1:3" x14ac:dyDescent="0.3">
      <c r="A15" t="s">
        <v>45</v>
      </c>
      <c r="B15" s="7">
        <v>16979</v>
      </c>
      <c r="C15" s="7">
        <v>483</v>
      </c>
    </row>
    <row r="16" spans="1:3" x14ac:dyDescent="0.3">
      <c r="A16" t="s">
        <v>46</v>
      </c>
      <c r="B16" s="7">
        <v>18</v>
      </c>
      <c r="C16" s="7">
        <v>0</v>
      </c>
    </row>
    <row r="17" spans="1:6" x14ac:dyDescent="0.3">
      <c r="A17" t="s">
        <v>47</v>
      </c>
      <c r="B17" s="7">
        <v>112</v>
      </c>
      <c r="C17" s="7">
        <v>120</v>
      </c>
    </row>
    <row r="18" spans="1:6" x14ac:dyDescent="0.3">
      <c r="A18" s="8" t="s">
        <v>48</v>
      </c>
      <c r="B18" s="9">
        <v>57107</v>
      </c>
      <c r="C18" s="9">
        <v>34843</v>
      </c>
    </row>
    <row r="19" spans="1:6" x14ac:dyDescent="0.3">
      <c r="A19" s="6" t="s">
        <v>49</v>
      </c>
    </row>
    <row r="20" spans="1:6" x14ac:dyDescent="0.3">
      <c r="A20" t="s">
        <v>50</v>
      </c>
      <c r="B20" s="7">
        <v>5778</v>
      </c>
      <c r="C20" s="7">
        <v>5846</v>
      </c>
    </row>
    <row r="21" spans="1:6" x14ac:dyDescent="0.3">
      <c r="A21" t="s">
        <v>44</v>
      </c>
      <c r="B21" s="7">
        <v>49294</v>
      </c>
      <c r="C21" s="7">
        <v>47238</v>
      </c>
    </row>
    <row r="22" spans="1:6" x14ac:dyDescent="0.3">
      <c r="A22" t="s">
        <v>51</v>
      </c>
      <c r="B22" s="7">
        <v>7451</v>
      </c>
      <c r="C22" s="7">
        <v>4309</v>
      </c>
    </row>
    <row r="23" spans="1:6" x14ac:dyDescent="0.3">
      <c r="A23" t="s">
        <v>52</v>
      </c>
      <c r="B23" s="7">
        <v>95</v>
      </c>
      <c r="C23" s="7">
        <v>2</v>
      </c>
    </row>
    <row r="24" spans="1:6" x14ac:dyDescent="0.3">
      <c r="A24" t="s">
        <v>53</v>
      </c>
      <c r="B24" s="7">
        <v>1547</v>
      </c>
      <c r="C24" s="7">
        <v>1350</v>
      </c>
    </row>
    <row r="25" spans="1:6" x14ac:dyDescent="0.3">
      <c r="A25" t="s">
        <v>45</v>
      </c>
      <c r="B25" s="7">
        <v>3956</v>
      </c>
      <c r="C25" s="7">
        <v>237</v>
      </c>
      <c r="F25" s="7">
        <f>SUM(C18,C29)</f>
        <v>98321</v>
      </c>
    </row>
    <row r="26" spans="1:6" x14ac:dyDescent="0.3">
      <c r="A26" t="s">
        <v>46</v>
      </c>
      <c r="B26" s="7">
        <v>737</v>
      </c>
      <c r="C26" s="7">
        <v>251</v>
      </c>
    </row>
    <row r="27" spans="1:6" x14ac:dyDescent="0.3">
      <c r="A27" t="s">
        <v>54</v>
      </c>
      <c r="B27" s="7">
        <v>243</v>
      </c>
      <c r="C27" s="7">
        <v>304</v>
      </c>
      <c r="F27" t="s">
        <v>690</v>
      </c>
    </row>
    <row r="28" spans="1:6" x14ac:dyDescent="0.3">
      <c r="A28" t="s">
        <v>55</v>
      </c>
      <c r="B28" s="7">
        <v>2832</v>
      </c>
      <c r="C28" s="7">
        <v>3941</v>
      </c>
    </row>
    <row r="29" spans="1:6" x14ac:dyDescent="0.3">
      <c r="A29" s="8" t="s">
        <v>56</v>
      </c>
      <c r="B29" s="9">
        <v>71933</v>
      </c>
      <c r="C29" s="9">
        <v>63478</v>
      </c>
    </row>
    <row r="30" spans="1:6" x14ac:dyDescent="0.3">
      <c r="A30" s="10" t="s">
        <v>57</v>
      </c>
      <c r="B30" s="11">
        <v>129040</v>
      </c>
      <c r="C30" s="11">
        <v>98321</v>
      </c>
    </row>
    <row r="31" spans="1:6" x14ac:dyDescent="0.3">
      <c r="A31" s="6" t="s">
        <v>58</v>
      </c>
    </row>
    <row r="32" spans="1:6" x14ac:dyDescent="0.3">
      <c r="A32" s="6" t="s">
        <v>59</v>
      </c>
    </row>
    <row r="33" spans="1:8" x14ac:dyDescent="0.3">
      <c r="A33" t="s">
        <v>60</v>
      </c>
      <c r="B33" s="7">
        <v>4837</v>
      </c>
      <c r="C33" s="7">
        <v>4837</v>
      </c>
    </row>
    <row r="34" spans="1:8" x14ac:dyDescent="0.3">
      <c r="A34" t="s">
        <v>61</v>
      </c>
      <c r="B34" s="7">
        <v>87753</v>
      </c>
      <c r="C34" s="7">
        <v>78152</v>
      </c>
    </row>
    <row r="35" spans="1:8" x14ac:dyDescent="0.3">
      <c r="A35" s="8" t="s">
        <v>62</v>
      </c>
      <c r="B35" s="9">
        <v>92590</v>
      </c>
      <c r="C35" s="9">
        <v>82989</v>
      </c>
    </row>
    <row r="36" spans="1:8" x14ac:dyDescent="0.3">
      <c r="A36" s="6" t="s">
        <v>63</v>
      </c>
    </row>
    <row r="37" spans="1:8" x14ac:dyDescent="0.3">
      <c r="A37" t="s">
        <v>64</v>
      </c>
      <c r="B37" s="7">
        <v>17375</v>
      </c>
      <c r="C37" s="7">
        <v>1192</v>
      </c>
    </row>
    <row r="38" spans="1:8" x14ac:dyDescent="0.3">
      <c r="A38" t="s">
        <v>65</v>
      </c>
      <c r="B38" s="7">
        <v>61</v>
      </c>
      <c r="C38" s="7">
        <v>130</v>
      </c>
    </row>
    <row r="39" spans="1:8" x14ac:dyDescent="0.3">
      <c r="A39" t="s">
        <v>66</v>
      </c>
      <c r="B39" s="7">
        <v>1023</v>
      </c>
      <c r="C39" s="7">
        <v>28</v>
      </c>
    </row>
    <row r="40" spans="1:8" x14ac:dyDescent="0.3">
      <c r="A40" t="s">
        <v>67</v>
      </c>
      <c r="B40" s="7">
        <v>105</v>
      </c>
      <c r="C40" s="7">
        <v>183</v>
      </c>
    </row>
    <row r="41" spans="1:8" x14ac:dyDescent="0.3">
      <c r="A41" t="s">
        <v>68</v>
      </c>
      <c r="B41" s="7">
        <v>1488</v>
      </c>
      <c r="C41" s="7">
        <v>1224</v>
      </c>
    </row>
    <row r="42" spans="1:8" x14ac:dyDescent="0.3">
      <c r="A42" s="8" t="s">
        <v>69</v>
      </c>
      <c r="B42" s="9">
        <v>20052</v>
      </c>
      <c r="C42" s="9">
        <v>2757</v>
      </c>
    </row>
    <row r="43" spans="1:8" x14ac:dyDescent="0.3">
      <c r="A43" s="6" t="s">
        <v>49</v>
      </c>
    </row>
    <row r="44" spans="1:8" x14ac:dyDescent="0.3">
      <c r="A44" t="s">
        <v>64</v>
      </c>
      <c r="B44" s="7">
        <v>1414</v>
      </c>
      <c r="C44" s="7">
        <v>761</v>
      </c>
      <c r="G44" s="7">
        <f>SUM(C44,C49)</f>
        <v>1555</v>
      </c>
    </row>
    <row r="45" spans="1:8" x14ac:dyDescent="0.3">
      <c r="A45" t="s">
        <v>65</v>
      </c>
      <c r="B45" s="7">
        <v>130</v>
      </c>
      <c r="C45" s="7">
        <v>118</v>
      </c>
      <c r="G45" s="7">
        <f>SUM(C47:C48)</f>
        <v>8909</v>
      </c>
    </row>
    <row r="46" spans="1:8" x14ac:dyDescent="0.3">
      <c r="A46" t="s">
        <v>71</v>
      </c>
      <c r="B46" s="7">
        <v>151</v>
      </c>
      <c r="C46" s="7">
        <v>11</v>
      </c>
      <c r="G46" s="7">
        <f>SUM(C45:C46,C50:C53)</f>
        <v>2111</v>
      </c>
    </row>
    <row r="47" spans="1:8" x14ac:dyDescent="0.3">
      <c r="A47" t="s">
        <v>72</v>
      </c>
      <c r="B47" s="7">
        <v>1154</v>
      </c>
      <c r="C47" s="7">
        <v>179</v>
      </c>
      <c r="G47" s="7">
        <f>SUM(G44:G46)</f>
        <v>12575</v>
      </c>
      <c r="H47" t="s">
        <v>676</v>
      </c>
    </row>
    <row r="48" spans="1:8" x14ac:dyDescent="0.3">
      <c r="A48" t="s">
        <v>73</v>
      </c>
      <c r="B48" s="7">
        <v>10054</v>
      </c>
      <c r="C48" s="7">
        <v>8730</v>
      </c>
    </row>
    <row r="49" spans="1:3" x14ac:dyDescent="0.3">
      <c r="A49" t="s">
        <v>74</v>
      </c>
      <c r="B49" s="7">
        <v>816</v>
      </c>
      <c r="C49" s="7">
        <v>794</v>
      </c>
    </row>
    <row r="50" spans="1:3" x14ac:dyDescent="0.3">
      <c r="A50" t="s">
        <v>66</v>
      </c>
      <c r="B50" s="7">
        <v>1115</v>
      </c>
      <c r="C50" s="7">
        <v>469</v>
      </c>
    </row>
    <row r="51" spans="1:3" x14ac:dyDescent="0.3">
      <c r="A51" t="s">
        <v>75</v>
      </c>
      <c r="B51" s="7">
        <v>1108</v>
      </c>
      <c r="C51" s="7">
        <v>1099</v>
      </c>
    </row>
    <row r="52" spans="1:3" x14ac:dyDescent="0.3">
      <c r="A52" t="s">
        <v>67</v>
      </c>
      <c r="B52" s="7">
        <v>94</v>
      </c>
      <c r="C52" s="7">
        <v>203</v>
      </c>
    </row>
    <row r="53" spans="1:3" x14ac:dyDescent="0.3">
      <c r="A53" t="s">
        <v>76</v>
      </c>
      <c r="B53" s="7">
        <v>362</v>
      </c>
      <c r="C53" s="7">
        <v>211</v>
      </c>
    </row>
    <row r="54" spans="1:3" x14ac:dyDescent="0.3">
      <c r="A54" s="8" t="s">
        <v>77</v>
      </c>
      <c r="B54" s="9">
        <v>16398</v>
      </c>
      <c r="C54" s="9">
        <v>12575</v>
      </c>
    </row>
    <row r="55" spans="1:3" x14ac:dyDescent="0.3">
      <c r="A55" s="10" t="s">
        <v>78</v>
      </c>
      <c r="B55" s="11">
        <v>129040</v>
      </c>
      <c r="C55" s="11">
        <v>98321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4"/>
  <sheetViews>
    <sheetView workbookViewId="0">
      <pane ySplit="3" topLeftCell="A130" activePane="bottomLeft" state="frozen"/>
      <selection pane="bottomLeft" activeCell="A119" sqref="A119:C122"/>
    </sheetView>
  </sheetViews>
  <sheetFormatPr defaultRowHeight="14.4" x14ac:dyDescent="0.3"/>
  <cols>
    <col min="1" max="1" width="107" bestFit="1" customWidth="1"/>
    <col min="2" max="3" width="18" customWidth="1"/>
    <col min="4" max="4" width="4" customWidth="1"/>
  </cols>
  <sheetData>
    <row r="1" spans="1:3" ht="17.399999999999999" x14ac:dyDescent="0.35">
      <c r="A1" s="1" t="s">
        <v>30</v>
      </c>
    </row>
    <row r="2" spans="1:3" x14ac:dyDescent="0.3">
      <c r="A2" s="2" t="s">
        <v>156</v>
      </c>
    </row>
    <row r="3" spans="1:3" x14ac:dyDescent="0.3">
      <c r="A3" s="3" t="s">
        <v>157</v>
      </c>
    </row>
    <row r="4" spans="1:3" x14ac:dyDescent="0.3">
      <c r="A4" s="4" t="s">
        <v>33</v>
      </c>
    </row>
    <row r="6" spans="1:3" x14ac:dyDescent="0.3">
      <c r="A6" s="2" t="s">
        <v>158</v>
      </c>
    </row>
    <row r="7" spans="1:3" x14ac:dyDescent="0.3">
      <c r="A7" s="2"/>
      <c r="B7" s="5" t="s">
        <v>35</v>
      </c>
      <c r="C7" s="5" t="s">
        <v>36</v>
      </c>
    </row>
    <row r="8" spans="1:3" x14ac:dyDescent="0.3">
      <c r="A8" t="s">
        <v>159</v>
      </c>
      <c r="B8" s="7">
        <v>208</v>
      </c>
      <c r="C8" s="7">
        <v>310</v>
      </c>
    </row>
    <row r="9" spans="1:3" x14ac:dyDescent="0.3">
      <c r="A9" t="s">
        <v>160</v>
      </c>
      <c r="B9" s="7">
        <v>1902</v>
      </c>
      <c r="C9" s="7">
        <v>2010</v>
      </c>
    </row>
    <row r="10" spans="1:3" x14ac:dyDescent="0.3">
      <c r="A10" t="s">
        <v>161</v>
      </c>
      <c r="B10" s="7">
        <v>3921</v>
      </c>
      <c r="C10" s="7">
        <v>4396</v>
      </c>
    </row>
    <row r="11" spans="1:3" x14ac:dyDescent="0.3">
      <c r="A11" t="s">
        <v>162</v>
      </c>
      <c r="B11" s="7">
        <v>43</v>
      </c>
      <c r="C11" s="7">
        <v>42</v>
      </c>
    </row>
    <row r="12" spans="1:3" x14ac:dyDescent="0.3">
      <c r="A12" t="s">
        <v>163</v>
      </c>
      <c r="B12" s="7">
        <v>100</v>
      </c>
      <c r="C12" s="7">
        <v>102</v>
      </c>
    </row>
    <row r="13" spans="1:3" x14ac:dyDescent="0.3">
      <c r="A13" t="s">
        <v>164</v>
      </c>
      <c r="B13" s="7">
        <v>2</v>
      </c>
      <c r="C13" s="7">
        <v>7</v>
      </c>
    </row>
    <row r="14" spans="1:3" x14ac:dyDescent="0.3">
      <c r="A14" s="8" t="s">
        <v>165</v>
      </c>
      <c r="B14" s="9">
        <v>6174</v>
      </c>
      <c r="C14" s="9">
        <v>6867</v>
      </c>
    </row>
    <row r="15" spans="1:3" x14ac:dyDescent="0.3">
      <c r="A15" s="4" t="s">
        <v>166</v>
      </c>
    </row>
    <row r="17" spans="1:3" x14ac:dyDescent="0.3">
      <c r="A17" s="2" t="s">
        <v>167</v>
      </c>
    </row>
    <row r="18" spans="1:3" x14ac:dyDescent="0.3">
      <c r="A18" s="2"/>
      <c r="B18" s="5" t="s">
        <v>35</v>
      </c>
      <c r="C18" s="5" t="s">
        <v>36</v>
      </c>
    </row>
    <row r="19" spans="1:3" x14ac:dyDescent="0.3">
      <c r="A19" t="s">
        <v>159</v>
      </c>
      <c r="B19" s="7">
        <v>683</v>
      </c>
      <c r="C19" s="7">
        <v>715</v>
      </c>
    </row>
    <row r="20" spans="1:3" x14ac:dyDescent="0.3">
      <c r="A20" t="s">
        <v>160</v>
      </c>
      <c r="B20" s="7">
        <v>152</v>
      </c>
      <c r="C20" s="7">
        <v>202</v>
      </c>
    </row>
    <row r="21" spans="1:3" x14ac:dyDescent="0.3">
      <c r="A21" t="s">
        <v>162</v>
      </c>
      <c r="B21" s="7">
        <v>13</v>
      </c>
      <c r="C21" s="7">
        <v>21</v>
      </c>
    </row>
    <row r="22" spans="1:3" x14ac:dyDescent="0.3">
      <c r="A22" t="s">
        <v>164</v>
      </c>
      <c r="B22" s="7">
        <v>5</v>
      </c>
      <c r="C22" s="7">
        <v>9</v>
      </c>
    </row>
    <row r="23" spans="1:3" x14ac:dyDescent="0.3">
      <c r="A23" s="8" t="s">
        <v>165</v>
      </c>
      <c r="B23" s="9">
        <v>853</v>
      </c>
      <c r="C23" s="9">
        <v>948</v>
      </c>
    </row>
    <row r="25" spans="1:3" x14ac:dyDescent="0.3">
      <c r="A25" s="2" t="s">
        <v>168</v>
      </c>
    </row>
    <row r="26" spans="1:3" x14ac:dyDescent="0.3">
      <c r="A26" s="2"/>
      <c r="B26" s="5" t="s">
        <v>35</v>
      </c>
      <c r="C26" s="5" t="s">
        <v>36</v>
      </c>
    </row>
    <row r="27" spans="1:3" x14ac:dyDescent="0.3">
      <c r="A27" t="s">
        <v>169</v>
      </c>
      <c r="B27" s="7">
        <v>497</v>
      </c>
      <c r="C27" s="7">
        <v>362</v>
      </c>
    </row>
    <row r="28" spans="1:3" x14ac:dyDescent="0.3">
      <c r="A28" t="s">
        <v>170</v>
      </c>
      <c r="B28" s="7">
        <v>0</v>
      </c>
      <c r="C28" s="7">
        <v>135</v>
      </c>
    </row>
    <row r="29" spans="1:3" x14ac:dyDescent="0.3">
      <c r="A29" s="8" t="s">
        <v>171</v>
      </c>
      <c r="B29" s="9">
        <v>497</v>
      </c>
      <c r="C29" s="9">
        <v>497</v>
      </c>
    </row>
    <row r="30" spans="1:3" x14ac:dyDescent="0.3">
      <c r="A30" s="4" t="s">
        <v>172</v>
      </c>
    </row>
    <row r="32" spans="1:3" x14ac:dyDescent="0.3">
      <c r="A32" s="2" t="s">
        <v>173</v>
      </c>
    </row>
    <row r="33" spans="1:3" x14ac:dyDescent="0.3">
      <c r="A33" s="2"/>
      <c r="B33" s="5" t="s">
        <v>35</v>
      </c>
      <c r="C33" s="5" t="s">
        <v>36</v>
      </c>
    </row>
    <row r="34" spans="1:3" x14ac:dyDescent="0.3">
      <c r="A34" t="s">
        <v>174</v>
      </c>
      <c r="B34" s="7">
        <v>26467</v>
      </c>
      <c r="C34" s="7">
        <v>21142</v>
      </c>
    </row>
    <row r="35" spans="1:3" x14ac:dyDescent="0.3">
      <c r="A35" t="s">
        <v>175</v>
      </c>
      <c r="B35" s="7">
        <v>1658</v>
      </c>
      <c r="C35" s="7">
        <v>562</v>
      </c>
    </row>
    <row r="36" spans="1:3" x14ac:dyDescent="0.3">
      <c r="A36" t="s">
        <v>176</v>
      </c>
      <c r="B36" s="7">
        <v>686</v>
      </c>
      <c r="C36" s="7">
        <v>668</v>
      </c>
    </row>
    <row r="37" spans="1:3" x14ac:dyDescent="0.3">
      <c r="A37" t="s">
        <v>177</v>
      </c>
      <c r="B37" s="7">
        <v>315</v>
      </c>
      <c r="C37" s="7">
        <v>240</v>
      </c>
    </row>
    <row r="38" spans="1:3" x14ac:dyDescent="0.3">
      <c r="A38" t="s">
        <v>178</v>
      </c>
      <c r="B38" s="7">
        <v>31340</v>
      </c>
      <c r="C38" s="7">
        <v>32108</v>
      </c>
    </row>
    <row r="39" spans="1:3" x14ac:dyDescent="0.3">
      <c r="A39" t="s">
        <v>179</v>
      </c>
      <c r="B39" s="7">
        <v>1558</v>
      </c>
      <c r="C39" s="7">
        <v>0</v>
      </c>
    </row>
    <row r="40" spans="1:3" x14ac:dyDescent="0.3">
      <c r="A40" t="s">
        <v>180</v>
      </c>
      <c r="B40" s="7">
        <v>150</v>
      </c>
      <c r="C40" s="7">
        <v>0</v>
      </c>
    </row>
    <row r="41" spans="1:3" x14ac:dyDescent="0.3">
      <c r="A41" t="s">
        <v>181</v>
      </c>
      <c r="B41" s="7">
        <v>16395</v>
      </c>
      <c r="C41" s="7">
        <v>15125</v>
      </c>
    </row>
    <row r="42" spans="1:3" x14ac:dyDescent="0.3">
      <c r="A42" t="s">
        <v>182</v>
      </c>
      <c r="B42" s="7">
        <v>0</v>
      </c>
      <c r="C42" s="7">
        <v>5</v>
      </c>
    </row>
    <row r="43" spans="1:3" x14ac:dyDescent="0.3">
      <c r="A43" t="s">
        <v>183</v>
      </c>
      <c r="B43" s="7">
        <v>1450</v>
      </c>
      <c r="C43" s="7">
        <v>1955</v>
      </c>
    </row>
    <row r="44" spans="1:3" x14ac:dyDescent="0.3">
      <c r="A44" s="8" t="s">
        <v>184</v>
      </c>
      <c r="B44" s="9">
        <v>80020</v>
      </c>
      <c r="C44" s="9">
        <v>71798</v>
      </c>
    </row>
    <row r="45" spans="1:3" x14ac:dyDescent="0.3">
      <c r="A45" t="s">
        <v>185</v>
      </c>
      <c r="B45" s="7">
        <v>49294</v>
      </c>
      <c r="C45" s="7">
        <v>47238</v>
      </c>
    </row>
    <row r="46" spans="1:3" x14ac:dyDescent="0.3">
      <c r="A46" t="s">
        <v>186</v>
      </c>
      <c r="B46" s="7">
        <v>30726</v>
      </c>
      <c r="C46" s="7">
        <v>24560</v>
      </c>
    </row>
    <row r="47" spans="1:3" x14ac:dyDescent="0.3">
      <c r="A47" t="s">
        <v>187</v>
      </c>
      <c r="B47" s="7">
        <v>31340</v>
      </c>
      <c r="C47" s="7">
        <v>32108</v>
      </c>
    </row>
    <row r="48" spans="1:3" x14ac:dyDescent="0.3">
      <c r="A48" t="s">
        <v>188</v>
      </c>
      <c r="B48" s="7">
        <v>48679</v>
      </c>
      <c r="C48" s="7">
        <v>39940</v>
      </c>
    </row>
    <row r="49" spans="1:3" x14ac:dyDescent="0.3">
      <c r="A49" t="s">
        <v>189</v>
      </c>
      <c r="B49" s="7">
        <v>0</v>
      </c>
      <c r="C49" s="7">
        <v>250</v>
      </c>
    </row>
    <row r="51" spans="1:3" x14ac:dyDescent="0.3">
      <c r="A51" s="2" t="s">
        <v>190</v>
      </c>
    </row>
    <row r="52" spans="1:3" x14ac:dyDescent="0.3">
      <c r="A52" s="2"/>
      <c r="B52" s="5" t="s">
        <v>35</v>
      </c>
      <c r="C52" s="5" t="s">
        <v>36</v>
      </c>
    </row>
    <row r="53" spans="1:3" x14ac:dyDescent="0.3">
      <c r="A53" t="s">
        <v>191</v>
      </c>
      <c r="B53" s="7">
        <v>2</v>
      </c>
      <c r="C53" s="7">
        <v>99</v>
      </c>
    </row>
    <row r="54" spans="1:3" x14ac:dyDescent="0.3">
      <c r="A54" t="s">
        <v>192</v>
      </c>
      <c r="B54" s="7">
        <v>16977</v>
      </c>
      <c r="C54" s="7">
        <v>384</v>
      </c>
    </row>
    <row r="55" spans="1:3" x14ac:dyDescent="0.3">
      <c r="A55" s="8" t="s">
        <v>193</v>
      </c>
      <c r="B55" s="9">
        <v>16979</v>
      </c>
      <c r="C55" s="9">
        <v>483</v>
      </c>
    </row>
    <row r="56" spans="1:3" x14ac:dyDescent="0.3">
      <c r="A56" t="s">
        <v>194</v>
      </c>
      <c r="B56" s="7">
        <v>100</v>
      </c>
      <c r="C56" s="7">
        <v>0</v>
      </c>
    </row>
    <row r="57" spans="1:3" x14ac:dyDescent="0.3">
      <c r="A57" t="s">
        <v>195</v>
      </c>
      <c r="B57" s="7">
        <v>3518</v>
      </c>
      <c r="C57" s="7">
        <v>0</v>
      </c>
    </row>
    <row r="58" spans="1:3" x14ac:dyDescent="0.3">
      <c r="A58" t="s">
        <v>196</v>
      </c>
      <c r="B58" s="7">
        <v>338</v>
      </c>
      <c r="C58" s="7">
        <v>237</v>
      </c>
    </row>
    <row r="59" spans="1:3" x14ac:dyDescent="0.3">
      <c r="A59" s="8" t="s">
        <v>197</v>
      </c>
      <c r="B59" s="9">
        <v>3956</v>
      </c>
      <c r="C59" s="9">
        <v>237</v>
      </c>
    </row>
    <row r="61" spans="1:3" x14ac:dyDescent="0.3">
      <c r="A61" s="2" t="s">
        <v>198</v>
      </c>
    </row>
    <row r="62" spans="1:3" x14ac:dyDescent="0.3">
      <c r="A62" s="2"/>
      <c r="B62" s="5" t="s">
        <v>35</v>
      </c>
      <c r="C62" s="5" t="s">
        <v>36</v>
      </c>
    </row>
    <row r="63" spans="1:3" x14ac:dyDescent="0.3">
      <c r="A63" t="s">
        <v>199</v>
      </c>
      <c r="B63" s="7">
        <v>18</v>
      </c>
      <c r="C63" s="7">
        <v>0</v>
      </c>
    </row>
    <row r="64" spans="1:3" x14ac:dyDescent="0.3">
      <c r="A64" t="s">
        <v>200</v>
      </c>
      <c r="B64" s="7">
        <v>278</v>
      </c>
      <c r="C64" s="7">
        <v>226</v>
      </c>
    </row>
    <row r="65" spans="1:3" x14ac:dyDescent="0.3">
      <c r="A65" t="s">
        <v>201</v>
      </c>
      <c r="B65" s="7">
        <v>452</v>
      </c>
      <c r="C65" s="7">
        <v>23</v>
      </c>
    </row>
    <row r="66" spans="1:3" x14ac:dyDescent="0.3">
      <c r="A66" t="s">
        <v>202</v>
      </c>
      <c r="B66" s="7">
        <v>3</v>
      </c>
      <c r="C66" s="7">
        <v>2</v>
      </c>
    </row>
    <row r="67" spans="1:3" x14ac:dyDescent="0.3">
      <c r="A67" t="s">
        <v>203</v>
      </c>
      <c r="B67" s="7">
        <v>4</v>
      </c>
      <c r="C67" s="7">
        <v>0</v>
      </c>
    </row>
    <row r="68" spans="1:3" x14ac:dyDescent="0.3">
      <c r="A68" s="8" t="s">
        <v>197</v>
      </c>
      <c r="B68" s="9">
        <v>737</v>
      </c>
      <c r="C68" s="9">
        <v>251</v>
      </c>
    </row>
    <row r="70" spans="1:3" x14ac:dyDescent="0.3">
      <c r="A70" s="2" t="s">
        <v>204</v>
      </c>
    </row>
    <row r="71" spans="1:3" x14ac:dyDescent="0.3">
      <c r="A71" s="2"/>
      <c r="B71" s="5" t="s">
        <v>35</v>
      </c>
      <c r="C71" s="5" t="s">
        <v>36</v>
      </c>
    </row>
    <row r="72" spans="1:3" x14ac:dyDescent="0.3">
      <c r="A72" t="s">
        <v>205</v>
      </c>
      <c r="B72" s="7">
        <v>105</v>
      </c>
      <c r="C72" s="7">
        <v>108</v>
      </c>
    </row>
    <row r="73" spans="1:3" x14ac:dyDescent="0.3">
      <c r="A73" t="s">
        <v>206</v>
      </c>
      <c r="B73" s="7">
        <v>7</v>
      </c>
      <c r="C73" s="7">
        <v>7</v>
      </c>
    </row>
    <row r="74" spans="1:3" x14ac:dyDescent="0.3">
      <c r="A74" t="s">
        <v>207</v>
      </c>
      <c r="B74" s="7">
        <v>0</v>
      </c>
      <c r="C74" s="7">
        <v>5</v>
      </c>
    </row>
    <row r="75" spans="1:3" x14ac:dyDescent="0.3">
      <c r="A75" s="8" t="s">
        <v>193</v>
      </c>
      <c r="B75" s="9">
        <v>112</v>
      </c>
      <c r="C75" s="9">
        <v>120</v>
      </c>
    </row>
    <row r="76" spans="1:3" x14ac:dyDescent="0.3">
      <c r="A76" t="s">
        <v>208</v>
      </c>
      <c r="B76" s="7">
        <v>427</v>
      </c>
      <c r="C76" s="7">
        <v>263</v>
      </c>
    </row>
    <row r="77" spans="1:3" x14ac:dyDescent="0.3">
      <c r="A77" t="s">
        <v>209</v>
      </c>
      <c r="B77" s="7">
        <v>1014</v>
      </c>
      <c r="C77" s="7">
        <v>1996</v>
      </c>
    </row>
    <row r="78" spans="1:3" x14ac:dyDescent="0.3">
      <c r="A78" t="s">
        <v>210</v>
      </c>
      <c r="B78" s="7">
        <v>131</v>
      </c>
      <c r="C78" s="7">
        <v>152</v>
      </c>
    </row>
    <row r="79" spans="1:3" x14ac:dyDescent="0.3">
      <c r="A79" t="s">
        <v>211</v>
      </c>
      <c r="B79" s="7">
        <v>1259</v>
      </c>
      <c r="C79" s="7">
        <v>1529</v>
      </c>
    </row>
    <row r="80" spans="1:3" x14ac:dyDescent="0.3">
      <c r="A80" s="8" t="s">
        <v>212</v>
      </c>
      <c r="B80" s="9">
        <v>2832</v>
      </c>
      <c r="C80" s="9">
        <v>3941</v>
      </c>
    </row>
    <row r="82" spans="1:3" x14ac:dyDescent="0.3">
      <c r="A82" s="2" t="s">
        <v>213</v>
      </c>
    </row>
    <row r="83" spans="1:3" x14ac:dyDescent="0.3">
      <c r="A83" s="2"/>
      <c r="B83" s="5" t="s">
        <v>35</v>
      </c>
      <c r="C83" s="5" t="s">
        <v>36</v>
      </c>
    </row>
    <row r="84" spans="1:3" x14ac:dyDescent="0.3">
      <c r="A84" t="s">
        <v>214</v>
      </c>
      <c r="B84" s="7">
        <v>2011</v>
      </c>
      <c r="C84" s="7">
        <v>1742</v>
      </c>
    </row>
    <row r="85" spans="1:3" x14ac:dyDescent="0.3">
      <c r="A85" t="s">
        <v>215</v>
      </c>
      <c r="B85" s="7">
        <v>1790</v>
      </c>
      <c r="C85" s="7">
        <v>1578</v>
      </c>
    </row>
    <row r="86" spans="1:3" x14ac:dyDescent="0.3">
      <c r="A86" t="s">
        <v>216</v>
      </c>
      <c r="B86" s="7">
        <v>375</v>
      </c>
      <c r="C86" s="7">
        <v>854</v>
      </c>
    </row>
    <row r="87" spans="1:3" x14ac:dyDescent="0.3">
      <c r="A87" t="s">
        <v>217</v>
      </c>
      <c r="B87" s="7">
        <v>1281</v>
      </c>
      <c r="C87" s="7">
        <v>1354</v>
      </c>
    </row>
    <row r="88" spans="1:3" x14ac:dyDescent="0.3">
      <c r="A88" t="s">
        <v>218</v>
      </c>
      <c r="B88" s="7">
        <v>321</v>
      </c>
      <c r="C88" s="7">
        <v>318</v>
      </c>
    </row>
    <row r="89" spans="1:3" x14ac:dyDescent="0.3">
      <c r="A89" s="8" t="s">
        <v>219</v>
      </c>
      <c r="B89" s="9">
        <v>5778</v>
      </c>
      <c r="C89" s="9">
        <v>5846</v>
      </c>
    </row>
    <row r="91" spans="1:3" x14ac:dyDescent="0.3">
      <c r="A91" s="2" t="s">
        <v>220</v>
      </c>
    </row>
    <row r="92" spans="1:3" x14ac:dyDescent="0.3">
      <c r="A92" s="2"/>
      <c r="B92" s="5" t="s">
        <v>35</v>
      </c>
      <c r="C92" s="5" t="s">
        <v>36</v>
      </c>
    </row>
    <row r="93" spans="1:3" x14ac:dyDescent="0.3">
      <c r="A93" t="s">
        <v>221</v>
      </c>
      <c r="B93" s="7">
        <v>7451</v>
      </c>
      <c r="C93" s="7">
        <v>4309</v>
      </c>
    </row>
    <row r="94" spans="1:3" x14ac:dyDescent="0.3">
      <c r="A94" t="s">
        <v>222</v>
      </c>
      <c r="B94" s="7">
        <v>352</v>
      </c>
      <c r="C94" s="7">
        <v>357</v>
      </c>
    </row>
    <row r="95" spans="1:3" x14ac:dyDescent="0.3">
      <c r="A95" t="s">
        <v>223</v>
      </c>
      <c r="B95" s="7">
        <v>-352</v>
      </c>
      <c r="C95" s="7">
        <v>-357</v>
      </c>
    </row>
    <row r="96" spans="1:3" x14ac:dyDescent="0.3">
      <c r="A96" s="8" t="s">
        <v>224</v>
      </c>
      <c r="B96" s="9">
        <v>7451</v>
      </c>
      <c r="C96" s="9">
        <v>4309</v>
      </c>
    </row>
    <row r="97" spans="1:3" x14ac:dyDescent="0.3">
      <c r="A97" t="s">
        <v>225</v>
      </c>
      <c r="B97" s="7">
        <v>357</v>
      </c>
      <c r="C97" s="7">
        <v>228</v>
      </c>
    </row>
    <row r="98" spans="1:3" x14ac:dyDescent="0.3">
      <c r="A98" t="s">
        <v>226</v>
      </c>
      <c r="B98" s="7">
        <v>35</v>
      </c>
      <c r="C98" s="7">
        <v>188</v>
      </c>
    </row>
    <row r="99" spans="1:3" x14ac:dyDescent="0.3">
      <c r="A99" t="s">
        <v>227</v>
      </c>
      <c r="B99" s="7">
        <v>40</v>
      </c>
      <c r="C99" s="7">
        <v>59</v>
      </c>
    </row>
    <row r="100" spans="1:3" x14ac:dyDescent="0.3">
      <c r="A100" s="8" t="s">
        <v>228</v>
      </c>
      <c r="B100" s="9">
        <v>352</v>
      </c>
      <c r="C100" s="9">
        <v>357</v>
      </c>
    </row>
    <row r="102" spans="1:3" x14ac:dyDescent="0.3">
      <c r="A102" s="2" t="s">
        <v>229</v>
      </c>
    </row>
    <row r="103" spans="1:3" x14ac:dyDescent="0.3">
      <c r="A103" s="2"/>
      <c r="B103" s="5" t="s">
        <v>35</v>
      </c>
      <c r="C103" s="5" t="s">
        <v>36</v>
      </c>
    </row>
    <row r="104" spans="1:3" x14ac:dyDescent="0.3">
      <c r="A104" t="s">
        <v>230</v>
      </c>
      <c r="B104" s="7">
        <v>16</v>
      </c>
      <c r="C104" s="7">
        <v>1</v>
      </c>
    </row>
    <row r="105" spans="1:3" x14ac:dyDescent="0.3">
      <c r="A105" t="s">
        <v>231</v>
      </c>
      <c r="B105" s="7">
        <v>79</v>
      </c>
      <c r="C105" s="7">
        <v>0</v>
      </c>
    </row>
    <row r="106" spans="1:3" x14ac:dyDescent="0.3">
      <c r="A106" t="s">
        <v>232</v>
      </c>
      <c r="B106" s="7">
        <v>0</v>
      </c>
      <c r="C106" s="7">
        <v>1</v>
      </c>
    </row>
    <row r="107" spans="1:3" x14ac:dyDescent="0.3">
      <c r="A107" s="8" t="s">
        <v>165</v>
      </c>
      <c r="B107" s="9">
        <v>95</v>
      </c>
      <c r="C107" s="9">
        <v>2</v>
      </c>
    </row>
    <row r="109" spans="1:3" x14ac:dyDescent="0.3">
      <c r="A109" s="2" t="s">
        <v>233</v>
      </c>
    </row>
    <row r="110" spans="1:3" x14ac:dyDescent="0.3">
      <c r="A110" s="2"/>
      <c r="B110" s="5" t="s">
        <v>35</v>
      </c>
      <c r="C110" s="5" t="s">
        <v>36</v>
      </c>
    </row>
    <row r="111" spans="1:3" x14ac:dyDescent="0.3">
      <c r="A111" t="s">
        <v>234</v>
      </c>
      <c r="B111" s="7">
        <v>691</v>
      </c>
      <c r="C111" s="7">
        <v>1135</v>
      </c>
    </row>
    <row r="112" spans="1:3" x14ac:dyDescent="0.3">
      <c r="A112" t="s">
        <v>235</v>
      </c>
      <c r="B112" s="7">
        <v>80</v>
      </c>
      <c r="C112" s="7">
        <v>90</v>
      </c>
    </row>
    <row r="113" spans="1:3" x14ac:dyDescent="0.3">
      <c r="A113" t="s">
        <v>153</v>
      </c>
      <c r="B113" s="7">
        <v>768</v>
      </c>
      <c r="C113" s="7">
        <v>120</v>
      </c>
    </row>
    <row r="114" spans="1:3" x14ac:dyDescent="0.3">
      <c r="A114" t="s">
        <v>154</v>
      </c>
      <c r="B114" s="7">
        <v>7</v>
      </c>
      <c r="C114" s="7">
        <v>4</v>
      </c>
    </row>
    <row r="115" spans="1:3" x14ac:dyDescent="0.3">
      <c r="A115" s="8" t="s">
        <v>165</v>
      </c>
      <c r="B115" s="9">
        <v>1547</v>
      </c>
      <c r="C115" s="9">
        <v>1350</v>
      </c>
    </row>
    <row r="117" spans="1:3" x14ac:dyDescent="0.3">
      <c r="A117" s="2" t="s">
        <v>236</v>
      </c>
    </row>
    <row r="118" spans="1:3" x14ac:dyDescent="0.3">
      <c r="A118" s="2"/>
      <c r="B118" s="5" t="s">
        <v>237</v>
      </c>
      <c r="C118" s="5" t="s">
        <v>238</v>
      </c>
    </row>
    <row r="119" spans="1:3" x14ac:dyDescent="0.3">
      <c r="A119" t="s">
        <v>239</v>
      </c>
      <c r="B119" s="7">
        <v>4950</v>
      </c>
      <c r="C119" s="7">
        <v>4950</v>
      </c>
    </row>
    <row r="120" spans="1:3" x14ac:dyDescent="0.3">
      <c r="A120" t="s">
        <v>240</v>
      </c>
      <c r="B120" s="7">
        <v>50</v>
      </c>
      <c r="C120" s="7">
        <v>50</v>
      </c>
    </row>
    <row r="121" spans="1:3" x14ac:dyDescent="0.3">
      <c r="A121" s="8" t="s">
        <v>241</v>
      </c>
      <c r="B121" s="9">
        <v>5000</v>
      </c>
      <c r="C121" s="9">
        <v>5000</v>
      </c>
    </row>
    <row r="122" spans="1:3" x14ac:dyDescent="0.3">
      <c r="A122" t="s">
        <v>242</v>
      </c>
      <c r="B122" s="7">
        <v>4837</v>
      </c>
      <c r="C122" s="7">
        <v>4837</v>
      </c>
    </row>
    <row r="123" spans="1:3" x14ac:dyDescent="0.3">
      <c r="A123" s="4" t="s">
        <v>243</v>
      </c>
    </row>
    <row r="125" spans="1:3" x14ac:dyDescent="0.3">
      <c r="A125" s="2" t="s">
        <v>244</v>
      </c>
    </row>
    <row r="126" spans="1:3" x14ac:dyDescent="0.3">
      <c r="A126" s="2"/>
      <c r="B126" s="5" t="s">
        <v>35</v>
      </c>
      <c r="C126" s="5" t="s">
        <v>36</v>
      </c>
    </row>
    <row r="127" spans="1:3" x14ac:dyDescent="0.3">
      <c r="A127" t="s">
        <v>245</v>
      </c>
      <c r="B127" s="7">
        <v>408</v>
      </c>
      <c r="C127" s="7">
        <v>1192</v>
      </c>
    </row>
    <row r="128" spans="1:3" x14ac:dyDescent="0.3">
      <c r="A128" t="s">
        <v>246</v>
      </c>
      <c r="B128" s="7">
        <v>16967</v>
      </c>
      <c r="C128" s="7">
        <v>0</v>
      </c>
    </row>
    <row r="129" spans="1:3" x14ac:dyDescent="0.3">
      <c r="A129" s="8" t="s">
        <v>193</v>
      </c>
      <c r="B129" s="9">
        <v>17375</v>
      </c>
      <c r="C129" s="9">
        <v>1192</v>
      </c>
    </row>
    <row r="130" spans="1:3" x14ac:dyDescent="0.3">
      <c r="A130" t="s">
        <v>247</v>
      </c>
      <c r="B130" s="7">
        <v>816</v>
      </c>
      <c r="C130" s="7">
        <v>794</v>
      </c>
    </row>
    <row r="131" spans="1:3" x14ac:dyDescent="0.3">
      <c r="A131" t="s">
        <v>248</v>
      </c>
      <c r="B131" s="7">
        <v>0</v>
      </c>
      <c r="C131" s="7">
        <v>161</v>
      </c>
    </row>
    <row r="132" spans="1:3" x14ac:dyDescent="0.3">
      <c r="A132" t="s">
        <v>249</v>
      </c>
      <c r="B132" s="7">
        <v>1414</v>
      </c>
      <c r="C132" s="7">
        <v>600</v>
      </c>
    </row>
    <row r="133" spans="1:3" x14ac:dyDescent="0.3">
      <c r="A133" s="8" t="s">
        <v>250</v>
      </c>
      <c r="B133" s="9">
        <v>1414</v>
      </c>
      <c r="C133" s="9">
        <v>761</v>
      </c>
    </row>
    <row r="135" spans="1:3" x14ac:dyDescent="0.3">
      <c r="A135" s="2" t="s">
        <v>251</v>
      </c>
    </row>
    <row r="136" spans="1:3" x14ac:dyDescent="0.3">
      <c r="A136" s="2"/>
      <c r="B136" s="5" t="s">
        <v>35</v>
      </c>
      <c r="C136" s="5" t="s">
        <v>36</v>
      </c>
    </row>
    <row r="137" spans="1:3" x14ac:dyDescent="0.3">
      <c r="A137" t="s">
        <v>252</v>
      </c>
      <c r="B137" s="7">
        <v>105</v>
      </c>
      <c r="C137" s="7">
        <v>183</v>
      </c>
    </row>
    <row r="138" spans="1:3" x14ac:dyDescent="0.3">
      <c r="A138" t="s">
        <v>253</v>
      </c>
      <c r="B138" s="7">
        <v>2</v>
      </c>
      <c r="C138" s="7">
        <v>113</v>
      </c>
    </row>
    <row r="139" spans="1:3" x14ac:dyDescent="0.3">
      <c r="A139" t="s">
        <v>254</v>
      </c>
      <c r="B139" s="7">
        <v>92</v>
      </c>
      <c r="C139" s="7">
        <v>90</v>
      </c>
    </row>
    <row r="140" spans="1:3" x14ac:dyDescent="0.3">
      <c r="A140" s="8" t="s">
        <v>197</v>
      </c>
      <c r="B140" s="9">
        <v>94</v>
      </c>
      <c r="C140" s="9">
        <v>203</v>
      </c>
    </row>
    <row r="142" spans="1:3" x14ac:dyDescent="0.3">
      <c r="A142" s="2" t="s">
        <v>255</v>
      </c>
    </row>
    <row r="143" spans="1:3" x14ac:dyDescent="0.3">
      <c r="A143" s="2"/>
      <c r="B143" s="5" t="s">
        <v>35</v>
      </c>
      <c r="C143" s="5" t="s">
        <v>36</v>
      </c>
    </row>
    <row r="144" spans="1:3" x14ac:dyDescent="0.3">
      <c r="A144" t="s">
        <v>256</v>
      </c>
      <c r="B144" s="7">
        <v>1023</v>
      </c>
      <c r="C144" s="7">
        <v>28</v>
      </c>
    </row>
    <row r="145" spans="1:3" x14ac:dyDescent="0.3">
      <c r="A145" t="s">
        <v>257</v>
      </c>
      <c r="B145" s="7">
        <v>37</v>
      </c>
      <c r="C145" s="7">
        <v>0</v>
      </c>
    </row>
    <row r="146" spans="1:3" x14ac:dyDescent="0.3">
      <c r="A146" t="s">
        <v>258</v>
      </c>
      <c r="B146" s="7">
        <v>203</v>
      </c>
      <c r="C146" s="7">
        <v>216</v>
      </c>
    </row>
    <row r="147" spans="1:3" x14ac:dyDescent="0.3">
      <c r="A147" t="s">
        <v>259</v>
      </c>
      <c r="B147" s="7">
        <v>618</v>
      </c>
      <c r="C147" s="7">
        <v>0</v>
      </c>
    </row>
    <row r="148" spans="1:3" x14ac:dyDescent="0.3">
      <c r="A148" t="s">
        <v>260</v>
      </c>
      <c r="B148" s="7">
        <v>257</v>
      </c>
      <c r="C148" s="7">
        <v>253</v>
      </c>
    </row>
    <row r="149" spans="1:3" x14ac:dyDescent="0.3">
      <c r="A149" s="8" t="s">
        <v>197</v>
      </c>
      <c r="B149" s="9">
        <v>1115</v>
      </c>
      <c r="C149" s="9">
        <v>469</v>
      </c>
    </row>
    <row r="151" spans="1:3" x14ac:dyDescent="0.3">
      <c r="A151" s="2" t="s">
        <v>261</v>
      </c>
    </row>
    <row r="152" spans="1:3" x14ac:dyDescent="0.3">
      <c r="A152" s="2"/>
      <c r="B152" s="5" t="s">
        <v>35</v>
      </c>
      <c r="C152" s="5" t="s">
        <v>36</v>
      </c>
    </row>
    <row r="153" spans="1:3" x14ac:dyDescent="0.3">
      <c r="A153" t="s">
        <v>262</v>
      </c>
      <c r="B153" s="7">
        <v>353</v>
      </c>
      <c r="C153" s="7">
        <v>287</v>
      </c>
    </row>
    <row r="154" spans="1:3" x14ac:dyDescent="0.3">
      <c r="A154" t="s">
        <v>263</v>
      </c>
      <c r="B154" s="7">
        <v>251</v>
      </c>
      <c r="C154" s="7">
        <v>368</v>
      </c>
    </row>
    <row r="155" spans="1:3" x14ac:dyDescent="0.3">
      <c r="A155" t="s">
        <v>264</v>
      </c>
      <c r="B155" s="7">
        <v>408</v>
      </c>
      <c r="C155" s="7">
        <v>358</v>
      </c>
    </row>
    <row r="156" spans="1:3" x14ac:dyDescent="0.3">
      <c r="A156" t="s">
        <v>265</v>
      </c>
      <c r="B156" s="7">
        <v>97</v>
      </c>
      <c r="C156" s="7">
        <v>85</v>
      </c>
    </row>
    <row r="157" spans="1:3" x14ac:dyDescent="0.3">
      <c r="A157" s="8" t="s">
        <v>165</v>
      </c>
      <c r="B157" s="9">
        <v>1108</v>
      </c>
      <c r="C157" s="9">
        <v>1099</v>
      </c>
    </row>
    <row r="159" spans="1:3" x14ac:dyDescent="0.3">
      <c r="A159" s="2" t="s">
        <v>266</v>
      </c>
    </row>
    <row r="160" spans="1:3" x14ac:dyDescent="0.3">
      <c r="A160" s="2"/>
      <c r="B160" s="5" t="s">
        <v>35</v>
      </c>
      <c r="C160" s="5" t="s">
        <v>36</v>
      </c>
    </row>
    <row r="161" spans="1:3" x14ac:dyDescent="0.3">
      <c r="A161" t="s">
        <v>230</v>
      </c>
      <c r="B161" s="7">
        <v>146</v>
      </c>
      <c r="C161" s="7">
        <v>4</v>
      </c>
    </row>
    <row r="162" spans="1:3" x14ac:dyDescent="0.3">
      <c r="A162" t="s">
        <v>232</v>
      </c>
      <c r="B162" s="7">
        <v>5</v>
      </c>
      <c r="C162" s="7">
        <v>7</v>
      </c>
    </row>
    <row r="163" spans="1:3" x14ac:dyDescent="0.3">
      <c r="A163" s="8" t="s">
        <v>165</v>
      </c>
      <c r="B163" s="9">
        <v>151</v>
      </c>
      <c r="C163" s="9">
        <v>11</v>
      </c>
    </row>
    <row r="165" spans="1:3" x14ac:dyDescent="0.3">
      <c r="A165" s="2" t="s">
        <v>267</v>
      </c>
    </row>
    <row r="166" spans="1:3" x14ac:dyDescent="0.3">
      <c r="A166" s="2"/>
      <c r="B166" s="5" t="s">
        <v>35</v>
      </c>
      <c r="C166" s="5" t="s">
        <v>36</v>
      </c>
    </row>
    <row r="167" spans="1:3" x14ac:dyDescent="0.3">
      <c r="A167" t="s">
        <v>268</v>
      </c>
      <c r="B167" s="7">
        <v>1154</v>
      </c>
      <c r="C167" s="7">
        <v>179</v>
      </c>
    </row>
    <row r="168" spans="1:3" x14ac:dyDescent="0.3">
      <c r="A168" t="s">
        <v>269</v>
      </c>
      <c r="B168" s="7">
        <v>10054</v>
      </c>
      <c r="C168" s="7">
        <v>8730</v>
      </c>
    </row>
    <row r="169" spans="1:3" x14ac:dyDescent="0.3">
      <c r="A169" s="8" t="s">
        <v>165</v>
      </c>
      <c r="B169" s="9">
        <v>11208</v>
      </c>
      <c r="C169" s="9">
        <v>8909</v>
      </c>
    </row>
    <row r="171" spans="1:3" x14ac:dyDescent="0.3">
      <c r="A171" s="2" t="s">
        <v>270</v>
      </c>
    </row>
    <row r="172" spans="1:3" x14ac:dyDescent="0.3">
      <c r="A172" s="2"/>
      <c r="B172" s="5" t="s">
        <v>35</v>
      </c>
      <c r="C172" s="5" t="s">
        <v>36</v>
      </c>
    </row>
    <row r="173" spans="1:3" x14ac:dyDescent="0.3">
      <c r="A173" t="s">
        <v>271</v>
      </c>
      <c r="B173" s="7">
        <v>51440</v>
      </c>
      <c r="C173" s="7">
        <v>47116</v>
      </c>
    </row>
    <row r="174" spans="1:3" x14ac:dyDescent="0.3">
      <c r="A174" t="s">
        <v>272</v>
      </c>
      <c r="B174" s="7">
        <v>115</v>
      </c>
      <c r="C174" s="7">
        <v>112</v>
      </c>
    </row>
    <row r="175" spans="1:3" x14ac:dyDescent="0.3">
      <c r="A175" t="s">
        <v>273</v>
      </c>
      <c r="B175" s="7">
        <v>103</v>
      </c>
      <c r="C175" s="7">
        <v>547</v>
      </c>
    </row>
    <row r="176" spans="1:3" x14ac:dyDescent="0.3">
      <c r="A176" s="8" t="s">
        <v>165</v>
      </c>
      <c r="B176" s="9">
        <v>51658</v>
      </c>
      <c r="C176" s="9">
        <v>47775</v>
      </c>
    </row>
    <row r="177" spans="1:3" x14ac:dyDescent="0.3">
      <c r="A177" s="4" t="s">
        <v>274</v>
      </c>
    </row>
    <row r="178" spans="1:3" x14ac:dyDescent="0.3">
      <c r="A178" t="s">
        <v>275</v>
      </c>
      <c r="B178" s="7">
        <v>22831</v>
      </c>
      <c r="C178" s="7">
        <v>20576</v>
      </c>
    </row>
    <row r="179" spans="1:3" x14ac:dyDescent="0.3">
      <c r="A179" t="s">
        <v>276</v>
      </c>
      <c r="B179" s="7">
        <v>5006</v>
      </c>
      <c r="C179" s="7">
        <v>4391</v>
      </c>
    </row>
    <row r="180" spans="1:3" x14ac:dyDescent="0.3">
      <c r="A180" t="s">
        <v>277</v>
      </c>
      <c r="B180" s="7">
        <v>10832</v>
      </c>
      <c r="C180" s="7">
        <v>10412</v>
      </c>
    </row>
    <row r="181" spans="1:3" x14ac:dyDescent="0.3">
      <c r="A181" t="s">
        <v>278</v>
      </c>
      <c r="B181" s="7">
        <v>5406</v>
      </c>
      <c r="C181" s="7">
        <v>5645</v>
      </c>
    </row>
    <row r="182" spans="1:3" x14ac:dyDescent="0.3">
      <c r="A182" t="s">
        <v>279</v>
      </c>
      <c r="B182" s="7">
        <v>3843</v>
      </c>
      <c r="C182" s="7">
        <v>4217</v>
      </c>
    </row>
    <row r="183" spans="1:3" x14ac:dyDescent="0.3">
      <c r="A183" t="s">
        <v>265</v>
      </c>
      <c r="B183" s="7">
        <v>3522</v>
      </c>
      <c r="C183" s="7">
        <v>1875</v>
      </c>
    </row>
    <row r="184" spans="1:3" x14ac:dyDescent="0.3">
      <c r="A184" s="8" t="s">
        <v>280</v>
      </c>
      <c r="B184" s="9">
        <v>51440</v>
      </c>
      <c r="C184" s="9">
        <v>47116</v>
      </c>
    </row>
    <row r="186" spans="1:3" x14ac:dyDescent="0.3">
      <c r="A186" s="2" t="s">
        <v>281</v>
      </c>
    </row>
    <row r="187" spans="1:3" x14ac:dyDescent="0.3">
      <c r="A187" s="2"/>
      <c r="B187" s="5" t="s">
        <v>35</v>
      </c>
      <c r="C187" s="5" t="s">
        <v>36</v>
      </c>
    </row>
    <row r="188" spans="1:3" x14ac:dyDescent="0.3">
      <c r="A188" t="s">
        <v>282</v>
      </c>
      <c r="B188" s="7">
        <v>1894</v>
      </c>
      <c r="C188" s="7">
        <v>1195</v>
      </c>
    </row>
    <row r="189" spans="1:3" x14ac:dyDescent="0.3">
      <c r="A189" t="s">
        <v>283</v>
      </c>
      <c r="B189" s="7">
        <v>136</v>
      </c>
      <c r="C189" s="7">
        <v>682</v>
      </c>
    </row>
    <row r="190" spans="1:3" x14ac:dyDescent="0.3">
      <c r="A190" t="s">
        <v>284</v>
      </c>
      <c r="B190" s="7">
        <v>998</v>
      </c>
      <c r="C190" s="7">
        <v>915</v>
      </c>
    </row>
    <row r="191" spans="1:3" x14ac:dyDescent="0.3">
      <c r="A191" t="s">
        <v>285</v>
      </c>
      <c r="B191" s="7">
        <v>1718</v>
      </c>
      <c r="C191" s="7">
        <v>658</v>
      </c>
    </row>
    <row r="192" spans="1:3" x14ac:dyDescent="0.3">
      <c r="A192" t="s">
        <v>286</v>
      </c>
      <c r="B192" s="7">
        <v>32</v>
      </c>
      <c r="C192" s="7">
        <v>2</v>
      </c>
    </row>
    <row r="193" spans="1:3" x14ac:dyDescent="0.3">
      <c r="A193" t="s">
        <v>287</v>
      </c>
      <c r="B193" s="7">
        <v>7</v>
      </c>
      <c r="C193" s="7">
        <v>0</v>
      </c>
    </row>
    <row r="194" spans="1:3" x14ac:dyDescent="0.3">
      <c r="A194" t="s">
        <v>288</v>
      </c>
      <c r="B194" s="7">
        <v>0</v>
      </c>
      <c r="C194" s="7">
        <v>1185</v>
      </c>
    </row>
    <row r="195" spans="1:3" x14ac:dyDescent="0.3">
      <c r="A195" t="s">
        <v>289</v>
      </c>
      <c r="B195" s="7">
        <v>1762</v>
      </c>
      <c r="C195" s="7">
        <v>0</v>
      </c>
    </row>
    <row r="196" spans="1:3" x14ac:dyDescent="0.3">
      <c r="A196" t="s">
        <v>290</v>
      </c>
      <c r="B196" s="7">
        <v>358</v>
      </c>
      <c r="C196" s="7">
        <v>263</v>
      </c>
    </row>
    <row r="197" spans="1:3" x14ac:dyDescent="0.3">
      <c r="A197" s="8" t="s">
        <v>165</v>
      </c>
      <c r="B197" s="9">
        <v>6905</v>
      </c>
      <c r="C197" s="9">
        <v>4900</v>
      </c>
    </row>
    <row r="199" spans="1:3" x14ac:dyDescent="0.3">
      <c r="A199" s="2" t="s">
        <v>291</v>
      </c>
    </row>
    <row r="200" spans="1:3" x14ac:dyDescent="0.3">
      <c r="A200" s="2"/>
      <c r="B200" s="5" t="s">
        <v>35</v>
      </c>
      <c r="C200" s="5" t="s">
        <v>36</v>
      </c>
    </row>
    <row r="201" spans="1:3" x14ac:dyDescent="0.3">
      <c r="A201" t="s">
        <v>292</v>
      </c>
      <c r="B201" s="7">
        <v>1742</v>
      </c>
      <c r="C201" s="7">
        <v>2417</v>
      </c>
    </row>
    <row r="202" spans="1:3" x14ac:dyDescent="0.3">
      <c r="A202" t="s">
        <v>293</v>
      </c>
      <c r="B202" s="7">
        <v>21524</v>
      </c>
      <c r="C202" s="7">
        <v>15450</v>
      </c>
    </row>
    <row r="203" spans="1:3" x14ac:dyDescent="0.3">
      <c r="A203" t="s">
        <v>294</v>
      </c>
      <c r="B203" s="7">
        <v>2011</v>
      </c>
      <c r="C203" s="7">
        <v>1742</v>
      </c>
    </row>
    <row r="204" spans="1:3" x14ac:dyDescent="0.3">
      <c r="A204" s="8" t="s">
        <v>165</v>
      </c>
      <c r="B204" s="9">
        <v>21255</v>
      </c>
      <c r="C204" s="9">
        <v>16125</v>
      </c>
    </row>
    <row r="205" spans="1:3" x14ac:dyDescent="0.3">
      <c r="A205" s="4" t="s">
        <v>295</v>
      </c>
    </row>
    <row r="206" spans="1:3" x14ac:dyDescent="0.3">
      <c r="A206" t="s">
        <v>296</v>
      </c>
      <c r="B206" s="7">
        <v>6046</v>
      </c>
      <c r="C206" s="7">
        <v>3727</v>
      </c>
    </row>
    <row r="207" spans="1:3" x14ac:dyDescent="0.3">
      <c r="A207" t="s">
        <v>297</v>
      </c>
      <c r="B207" s="7">
        <v>2030</v>
      </c>
      <c r="C207" s="7">
        <v>1838</v>
      </c>
    </row>
    <row r="208" spans="1:3" x14ac:dyDescent="0.3">
      <c r="A208" t="s">
        <v>298</v>
      </c>
      <c r="B208" s="7">
        <v>988</v>
      </c>
      <c r="C208" s="7">
        <v>1235</v>
      </c>
    </row>
    <row r="209" spans="1:3" x14ac:dyDescent="0.3">
      <c r="A209" t="s">
        <v>299</v>
      </c>
      <c r="B209" s="7">
        <v>381</v>
      </c>
      <c r="C209" s="7">
        <v>453</v>
      </c>
    </row>
    <row r="210" spans="1:3" x14ac:dyDescent="0.3">
      <c r="A210" t="s">
        <v>300</v>
      </c>
      <c r="B210" s="7">
        <v>1395</v>
      </c>
      <c r="C210" s="7">
        <v>1646</v>
      </c>
    </row>
    <row r="211" spans="1:3" x14ac:dyDescent="0.3">
      <c r="A211" t="s">
        <v>301</v>
      </c>
      <c r="B211" s="7">
        <v>505</v>
      </c>
      <c r="C211" s="7">
        <v>681</v>
      </c>
    </row>
    <row r="212" spans="1:3" x14ac:dyDescent="0.3">
      <c r="A212" t="s">
        <v>302</v>
      </c>
      <c r="B212" s="7">
        <v>852</v>
      </c>
      <c r="C212" s="7">
        <v>853</v>
      </c>
    </row>
    <row r="213" spans="1:3" x14ac:dyDescent="0.3">
      <c r="A213" t="s">
        <v>265</v>
      </c>
      <c r="B213" s="7">
        <v>9059</v>
      </c>
      <c r="C213" s="7">
        <v>5692</v>
      </c>
    </row>
    <row r="214" spans="1:3" x14ac:dyDescent="0.3">
      <c r="A214" s="8" t="s">
        <v>303</v>
      </c>
      <c r="B214" s="9">
        <v>21255</v>
      </c>
      <c r="C214" s="9">
        <v>16125</v>
      </c>
    </row>
    <row r="216" spans="1:3" x14ac:dyDescent="0.3">
      <c r="A216" s="2" t="s">
        <v>304</v>
      </c>
    </row>
    <row r="217" spans="1:3" x14ac:dyDescent="0.3">
      <c r="A217" s="2"/>
      <c r="B217" s="5" t="s">
        <v>35</v>
      </c>
      <c r="C217" s="5" t="s">
        <v>36</v>
      </c>
    </row>
    <row r="218" spans="1:3" x14ac:dyDescent="0.3">
      <c r="A218" t="s">
        <v>305</v>
      </c>
      <c r="B218" s="7">
        <v>1578</v>
      </c>
      <c r="C218" s="7">
        <v>1591</v>
      </c>
    </row>
    <row r="219" spans="1:3" x14ac:dyDescent="0.3">
      <c r="A219" t="s">
        <v>306</v>
      </c>
      <c r="B219" s="7">
        <v>1354</v>
      </c>
      <c r="C219" s="7">
        <v>1088</v>
      </c>
    </row>
    <row r="220" spans="1:3" x14ac:dyDescent="0.3">
      <c r="A220" t="s">
        <v>307</v>
      </c>
      <c r="B220" s="7">
        <v>854</v>
      </c>
      <c r="C220" s="7">
        <v>821</v>
      </c>
    </row>
    <row r="221" spans="1:3" x14ac:dyDescent="0.3">
      <c r="A221" s="8" t="s">
        <v>308</v>
      </c>
      <c r="B221" s="9">
        <v>3786</v>
      </c>
      <c r="C221" s="9">
        <v>3500</v>
      </c>
    </row>
    <row r="222" spans="1:3" x14ac:dyDescent="0.3">
      <c r="A222" t="s">
        <v>309</v>
      </c>
      <c r="B222" s="7">
        <v>0</v>
      </c>
      <c r="C222" s="7">
        <v>2</v>
      </c>
    </row>
    <row r="223" spans="1:3" x14ac:dyDescent="0.3">
      <c r="A223" t="s">
        <v>310</v>
      </c>
      <c r="B223" s="7">
        <v>1790</v>
      </c>
      <c r="C223" s="7">
        <v>1578</v>
      </c>
    </row>
    <row r="224" spans="1:3" x14ac:dyDescent="0.3">
      <c r="A224" t="s">
        <v>311</v>
      </c>
      <c r="B224" s="7">
        <v>1281</v>
      </c>
      <c r="C224" s="7">
        <v>1354</v>
      </c>
    </row>
    <row r="225" spans="1:3" x14ac:dyDescent="0.3">
      <c r="A225" t="s">
        <v>312</v>
      </c>
      <c r="B225" s="7">
        <v>375</v>
      </c>
      <c r="C225" s="7">
        <v>854</v>
      </c>
    </row>
    <row r="226" spans="1:3" x14ac:dyDescent="0.3">
      <c r="A226" s="8" t="s">
        <v>313</v>
      </c>
      <c r="B226" s="9">
        <v>3445</v>
      </c>
      <c r="C226" s="9">
        <v>3788</v>
      </c>
    </row>
    <row r="227" spans="1:3" x14ac:dyDescent="0.3">
      <c r="A227" s="8" t="s">
        <v>314</v>
      </c>
      <c r="B227" s="9">
        <v>341</v>
      </c>
      <c r="C227" s="9">
        <v>-288</v>
      </c>
    </row>
    <row r="229" spans="1:3" x14ac:dyDescent="0.3">
      <c r="A229" s="2" t="s">
        <v>315</v>
      </c>
    </row>
    <row r="230" spans="1:3" x14ac:dyDescent="0.3">
      <c r="A230" s="2"/>
      <c r="B230" s="5" t="s">
        <v>35</v>
      </c>
      <c r="C230" s="5" t="s">
        <v>36</v>
      </c>
    </row>
    <row r="231" spans="1:3" x14ac:dyDescent="0.3">
      <c r="A231" t="s">
        <v>316</v>
      </c>
      <c r="B231" s="7">
        <v>4221</v>
      </c>
      <c r="C231" s="7">
        <v>3753</v>
      </c>
    </row>
    <row r="232" spans="1:3" x14ac:dyDescent="0.3">
      <c r="A232" t="s">
        <v>317</v>
      </c>
      <c r="B232" s="7">
        <v>205</v>
      </c>
      <c r="C232" s="7">
        <v>206</v>
      </c>
    </row>
    <row r="233" spans="1:3" x14ac:dyDescent="0.3">
      <c r="A233" t="s">
        <v>318</v>
      </c>
      <c r="B233" s="7">
        <v>93</v>
      </c>
      <c r="C233" s="7">
        <v>118</v>
      </c>
    </row>
    <row r="234" spans="1:3" x14ac:dyDescent="0.3">
      <c r="A234" s="8" t="s">
        <v>165</v>
      </c>
      <c r="B234" s="9">
        <v>4518</v>
      </c>
      <c r="C234" s="9">
        <v>4077</v>
      </c>
    </row>
    <row r="236" spans="1:3" x14ac:dyDescent="0.3">
      <c r="A236" s="2" t="s">
        <v>319</v>
      </c>
    </row>
    <row r="237" spans="1:3" x14ac:dyDescent="0.3">
      <c r="A237" s="2"/>
      <c r="B237" s="5" t="s">
        <v>35</v>
      </c>
      <c r="C237" s="5" t="s">
        <v>36</v>
      </c>
    </row>
    <row r="238" spans="1:3" x14ac:dyDescent="0.3">
      <c r="A238" t="s">
        <v>320</v>
      </c>
      <c r="B238" s="7">
        <v>693</v>
      </c>
      <c r="C238" s="7">
        <v>88</v>
      </c>
    </row>
    <row r="239" spans="1:3" x14ac:dyDescent="0.3">
      <c r="A239" t="s">
        <v>321</v>
      </c>
      <c r="B239" s="7">
        <v>48</v>
      </c>
      <c r="C239" s="7">
        <v>0</v>
      </c>
    </row>
    <row r="240" spans="1:3" x14ac:dyDescent="0.3">
      <c r="A240" t="s">
        <v>322</v>
      </c>
      <c r="B240" s="7">
        <v>21</v>
      </c>
      <c r="C240" s="7">
        <v>25</v>
      </c>
    </row>
    <row r="241" spans="1:3" x14ac:dyDescent="0.3">
      <c r="A241" s="8" t="s">
        <v>165</v>
      </c>
      <c r="B241" s="9">
        <v>762</v>
      </c>
      <c r="C241" s="9">
        <v>113</v>
      </c>
    </row>
    <row r="243" spans="1:3" x14ac:dyDescent="0.3">
      <c r="A243" s="2" t="s">
        <v>323</v>
      </c>
    </row>
    <row r="244" spans="1:3" x14ac:dyDescent="0.3">
      <c r="A244" s="2"/>
      <c r="B244" s="5" t="s">
        <v>35</v>
      </c>
      <c r="C244" s="5" t="s">
        <v>36</v>
      </c>
    </row>
    <row r="245" spans="1:3" x14ac:dyDescent="0.3">
      <c r="A245" t="s">
        <v>324</v>
      </c>
      <c r="B245" s="7">
        <v>890</v>
      </c>
      <c r="C245" s="7">
        <v>930</v>
      </c>
    </row>
    <row r="246" spans="1:3" x14ac:dyDescent="0.3">
      <c r="A246" t="s">
        <v>325</v>
      </c>
      <c r="B246" s="7">
        <v>24</v>
      </c>
      <c r="C246" s="7">
        <v>26</v>
      </c>
    </row>
    <row r="247" spans="1:3" x14ac:dyDescent="0.3">
      <c r="A247" s="8" t="s">
        <v>165</v>
      </c>
      <c r="B247" s="9">
        <v>914</v>
      </c>
      <c r="C247" s="9">
        <v>956</v>
      </c>
    </row>
    <row r="249" spans="1:3" x14ac:dyDescent="0.3">
      <c r="A249" s="2" t="s">
        <v>326</v>
      </c>
    </row>
    <row r="250" spans="1:3" x14ac:dyDescent="0.3">
      <c r="A250" s="2"/>
      <c r="B250" s="5" t="s">
        <v>35</v>
      </c>
      <c r="C250" s="5" t="s">
        <v>36</v>
      </c>
    </row>
    <row r="251" spans="1:3" x14ac:dyDescent="0.3">
      <c r="A251" t="s">
        <v>327</v>
      </c>
      <c r="B251" s="7">
        <v>348</v>
      </c>
      <c r="C251" s="7">
        <v>374</v>
      </c>
    </row>
    <row r="252" spans="1:3" x14ac:dyDescent="0.3">
      <c r="A252" t="s">
        <v>328</v>
      </c>
      <c r="B252" s="7">
        <v>900</v>
      </c>
      <c r="C252" s="7">
        <v>952</v>
      </c>
    </row>
    <row r="253" spans="1:3" x14ac:dyDescent="0.3">
      <c r="A253" t="s">
        <v>329</v>
      </c>
      <c r="B253" s="7">
        <v>711</v>
      </c>
      <c r="C253" s="7">
        <v>956</v>
      </c>
    </row>
    <row r="254" spans="1:3" x14ac:dyDescent="0.3">
      <c r="A254" t="s">
        <v>330</v>
      </c>
      <c r="B254" s="7">
        <v>140</v>
      </c>
      <c r="C254" s="7">
        <v>112</v>
      </c>
    </row>
    <row r="255" spans="1:3" x14ac:dyDescent="0.3">
      <c r="A255" t="s">
        <v>331</v>
      </c>
      <c r="B255" s="7">
        <v>10</v>
      </c>
      <c r="C255" s="7">
        <v>18</v>
      </c>
    </row>
    <row r="256" spans="1:3" x14ac:dyDescent="0.3">
      <c r="A256" t="s">
        <v>332</v>
      </c>
      <c r="B256" s="7">
        <v>38</v>
      </c>
      <c r="C256" s="7">
        <v>43</v>
      </c>
    </row>
    <row r="257" spans="1:3" x14ac:dyDescent="0.3">
      <c r="A257" t="s">
        <v>333</v>
      </c>
      <c r="B257" s="7">
        <v>10</v>
      </c>
      <c r="C257" s="7">
        <v>10</v>
      </c>
    </row>
    <row r="258" spans="1:3" x14ac:dyDescent="0.3">
      <c r="A258" t="s">
        <v>334</v>
      </c>
      <c r="B258" s="7">
        <v>225</v>
      </c>
      <c r="C258" s="7">
        <v>240</v>
      </c>
    </row>
    <row r="259" spans="1:3" x14ac:dyDescent="0.3">
      <c r="A259" t="s">
        <v>335</v>
      </c>
      <c r="B259" s="7">
        <v>4122</v>
      </c>
      <c r="C259" s="7">
        <v>4985</v>
      </c>
    </row>
    <row r="260" spans="1:3" x14ac:dyDescent="0.3">
      <c r="A260" t="s">
        <v>336</v>
      </c>
      <c r="B260" s="7">
        <v>232</v>
      </c>
      <c r="C260" s="7">
        <v>403</v>
      </c>
    </row>
    <row r="261" spans="1:3" x14ac:dyDescent="0.3">
      <c r="A261" t="s">
        <v>337</v>
      </c>
      <c r="B261" s="7">
        <v>26</v>
      </c>
      <c r="C261" s="7">
        <v>23</v>
      </c>
    </row>
    <row r="262" spans="1:3" x14ac:dyDescent="0.3">
      <c r="A262" t="s">
        <v>338</v>
      </c>
      <c r="B262" s="7">
        <v>2866</v>
      </c>
      <c r="C262" s="7">
        <v>2645</v>
      </c>
    </row>
    <row r="263" spans="1:3" x14ac:dyDescent="0.3">
      <c r="A263" t="s">
        <v>339</v>
      </c>
      <c r="B263" s="7">
        <v>301</v>
      </c>
      <c r="C263" s="7">
        <v>99</v>
      </c>
    </row>
    <row r="264" spans="1:3" x14ac:dyDescent="0.3">
      <c r="A264" t="s">
        <v>340</v>
      </c>
      <c r="B264" s="7">
        <v>15</v>
      </c>
      <c r="C264" s="7">
        <v>15</v>
      </c>
    </row>
    <row r="265" spans="1:3" x14ac:dyDescent="0.3">
      <c r="A265" t="s">
        <v>287</v>
      </c>
      <c r="B265" s="7">
        <v>0</v>
      </c>
      <c r="C265" s="7">
        <v>33</v>
      </c>
    </row>
    <row r="266" spans="1:3" x14ac:dyDescent="0.3">
      <c r="A266" t="s">
        <v>341</v>
      </c>
      <c r="B266" s="7">
        <v>1157</v>
      </c>
      <c r="C266" s="7">
        <v>983</v>
      </c>
    </row>
    <row r="267" spans="1:3" x14ac:dyDescent="0.3">
      <c r="A267" s="8" t="s">
        <v>165</v>
      </c>
      <c r="B267" s="9">
        <v>11101</v>
      </c>
      <c r="C267" s="9">
        <v>11893</v>
      </c>
    </row>
    <row r="269" spans="1:3" x14ac:dyDescent="0.3">
      <c r="A269" s="2" t="s">
        <v>342</v>
      </c>
    </row>
    <row r="270" spans="1:3" x14ac:dyDescent="0.3">
      <c r="A270" s="2"/>
      <c r="B270" s="5" t="s">
        <v>35</v>
      </c>
      <c r="C270" s="5" t="s">
        <v>36</v>
      </c>
    </row>
    <row r="271" spans="1:3" x14ac:dyDescent="0.3">
      <c r="A271" t="s">
        <v>107</v>
      </c>
      <c r="B271" s="7">
        <v>483662163</v>
      </c>
      <c r="C271" s="7">
        <v>483662163</v>
      </c>
    </row>
    <row r="272" spans="1:3" x14ac:dyDescent="0.3">
      <c r="A272" t="s">
        <v>343</v>
      </c>
      <c r="B272" s="7">
        <v>9130</v>
      </c>
      <c r="C272" s="7">
        <v>8175</v>
      </c>
    </row>
    <row r="273" spans="1:3" x14ac:dyDescent="0.3">
      <c r="A273" t="s">
        <v>344</v>
      </c>
      <c r="B273" s="7">
        <v>18.88</v>
      </c>
      <c r="C273" s="7">
        <v>16.899999999999999</v>
      </c>
    </row>
    <row r="275" spans="1:3" x14ac:dyDescent="0.3">
      <c r="A275" s="2" t="s">
        <v>345</v>
      </c>
    </row>
    <row r="276" spans="1:3" x14ac:dyDescent="0.3">
      <c r="A276" s="2"/>
      <c r="B276" s="5" t="s">
        <v>35</v>
      </c>
      <c r="C276" s="5" t="s">
        <v>36</v>
      </c>
    </row>
    <row r="277" spans="1:3" x14ac:dyDescent="0.3">
      <c r="A277" t="s">
        <v>346</v>
      </c>
      <c r="B277" s="7">
        <v>114</v>
      </c>
      <c r="C277" s="7">
        <v>76</v>
      </c>
    </row>
    <row r="279" spans="1:3" x14ac:dyDescent="0.3">
      <c r="A279" s="2" t="s">
        <v>347</v>
      </c>
    </row>
    <row r="280" spans="1:3" x14ac:dyDescent="0.3">
      <c r="A280" s="2"/>
      <c r="B280" s="5" t="s">
        <v>35</v>
      </c>
      <c r="C280" s="5" t="s">
        <v>36</v>
      </c>
    </row>
    <row r="281" spans="1:3" x14ac:dyDescent="0.3">
      <c r="A281" t="s">
        <v>348</v>
      </c>
      <c r="B281" s="7">
        <v>867</v>
      </c>
      <c r="C281" s="7">
        <v>765</v>
      </c>
    </row>
    <row r="282" spans="1:3" x14ac:dyDescent="0.3">
      <c r="A282" t="s">
        <v>349</v>
      </c>
      <c r="B282" s="7">
        <v>946</v>
      </c>
      <c r="C282" s="7">
        <v>1137</v>
      </c>
    </row>
    <row r="283" spans="1:3" x14ac:dyDescent="0.3">
      <c r="A283" t="s">
        <v>350</v>
      </c>
      <c r="B283" s="7">
        <v>217</v>
      </c>
      <c r="C283" s="7">
        <v>4149</v>
      </c>
    </row>
    <row r="285" spans="1:3" x14ac:dyDescent="0.3">
      <c r="A285" s="2" t="s">
        <v>351</v>
      </c>
    </row>
    <row r="286" spans="1:3" x14ac:dyDescent="0.3">
      <c r="A286" s="2"/>
      <c r="B286" s="5" t="s">
        <v>35</v>
      </c>
      <c r="C286" s="5" t="s">
        <v>36</v>
      </c>
    </row>
    <row r="287" spans="1:3" x14ac:dyDescent="0.3">
      <c r="A287" t="s">
        <v>352</v>
      </c>
      <c r="B287" s="7">
        <v>1916</v>
      </c>
      <c r="C287" s="7">
        <v>2197</v>
      </c>
    </row>
    <row r="288" spans="1:3" x14ac:dyDescent="0.3">
      <c r="A288" t="s">
        <v>353</v>
      </c>
      <c r="B288" s="7">
        <v>-6</v>
      </c>
      <c r="C288" s="7">
        <v>-18</v>
      </c>
    </row>
    <row r="289" spans="1:3" x14ac:dyDescent="0.3">
      <c r="A289" s="8" t="s">
        <v>354</v>
      </c>
      <c r="B289" s="9">
        <v>1910</v>
      </c>
      <c r="C289" s="9">
        <v>2179</v>
      </c>
    </row>
    <row r="290" spans="1:3" x14ac:dyDescent="0.3">
      <c r="A290" t="s">
        <v>355</v>
      </c>
      <c r="B290" s="7">
        <v>236</v>
      </c>
      <c r="C290" s="7">
        <v>-45</v>
      </c>
    </row>
    <row r="291" spans="1:3" x14ac:dyDescent="0.3">
      <c r="A291" t="s">
        <v>356</v>
      </c>
      <c r="B291" s="7">
        <v>-11</v>
      </c>
      <c r="C291" s="7">
        <v>19</v>
      </c>
    </row>
    <row r="292" spans="1:3" x14ac:dyDescent="0.3">
      <c r="A292" s="8" t="s">
        <v>357</v>
      </c>
      <c r="B292" s="9">
        <v>225</v>
      </c>
      <c r="C292" s="9">
        <v>-26</v>
      </c>
    </row>
    <row r="293" spans="1:3" x14ac:dyDescent="0.3">
      <c r="A293" s="8" t="s">
        <v>358</v>
      </c>
      <c r="B293" s="9">
        <v>2135</v>
      </c>
      <c r="C293" s="9">
        <v>2153</v>
      </c>
    </row>
    <row r="294" spans="1:3" x14ac:dyDescent="0.3">
      <c r="A294" t="s">
        <v>359</v>
      </c>
      <c r="B294" s="7">
        <v>11264</v>
      </c>
      <c r="C294" s="7">
        <v>10328</v>
      </c>
    </row>
    <row r="295" spans="1:3" x14ac:dyDescent="0.3">
      <c r="A295" t="s">
        <v>360</v>
      </c>
      <c r="B295" s="7">
        <v>2835</v>
      </c>
      <c r="C295" s="7">
        <v>2599</v>
      </c>
    </row>
    <row r="296" spans="1:3" x14ac:dyDescent="0.3">
      <c r="A296" t="s">
        <v>361</v>
      </c>
      <c r="B296" s="7">
        <v>-565</v>
      </c>
      <c r="C296" s="7">
        <v>-303</v>
      </c>
    </row>
    <row r="297" spans="1:3" x14ac:dyDescent="0.3">
      <c r="A297" t="s">
        <v>362</v>
      </c>
      <c r="B297" s="7">
        <v>-127</v>
      </c>
      <c r="C297" s="7">
        <v>-178</v>
      </c>
    </row>
    <row r="298" spans="1:3" x14ac:dyDescent="0.3">
      <c r="A298" t="s">
        <v>363</v>
      </c>
      <c r="B298" s="7">
        <v>115</v>
      </c>
      <c r="C298" s="7">
        <v>36</v>
      </c>
    </row>
    <row r="299" spans="1:3" x14ac:dyDescent="0.3">
      <c r="A299" t="s">
        <v>364</v>
      </c>
      <c r="B299" s="7">
        <v>-123</v>
      </c>
      <c r="C299" s="7">
        <v>1</v>
      </c>
    </row>
    <row r="300" spans="1:3" x14ac:dyDescent="0.3">
      <c r="A300" t="s">
        <v>265</v>
      </c>
      <c r="B300" s="7">
        <v>0</v>
      </c>
      <c r="C300" s="7">
        <v>-4</v>
      </c>
    </row>
    <row r="301" spans="1:3" x14ac:dyDescent="0.3">
      <c r="A301" t="s">
        <v>365</v>
      </c>
      <c r="B301" s="7">
        <v>19</v>
      </c>
      <c r="C301" s="7">
        <v>21</v>
      </c>
    </row>
    <row r="303" spans="1:3" x14ac:dyDescent="0.3">
      <c r="A303" s="2" t="s">
        <v>366</v>
      </c>
    </row>
    <row r="304" spans="1:3" x14ac:dyDescent="0.3">
      <c r="A304" s="2"/>
      <c r="B304" s="5" t="s">
        <v>35</v>
      </c>
      <c r="C304" s="5" t="s">
        <v>36</v>
      </c>
    </row>
    <row r="305" spans="1:3" x14ac:dyDescent="0.3">
      <c r="A305" t="s">
        <v>367</v>
      </c>
      <c r="B305" s="7">
        <v>158</v>
      </c>
      <c r="C305" s="7">
        <v>144</v>
      </c>
    </row>
    <row r="306" spans="1:3" x14ac:dyDescent="0.3">
      <c r="A306" s="4" t="s">
        <v>368</v>
      </c>
    </row>
    <row r="308" spans="1:3" x14ac:dyDescent="0.3">
      <c r="A308" s="2" t="s">
        <v>369</v>
      </c>
    </row>
    <row r="309" spans="1:3" x14ac:dyDescent="0.3">
      <c r="A309" s="2"/>
      <c r="B309" s="5" t="s">
        <v>35</v>
      </c>
      <c r="C309" s="5" t="s">
        <v>36</v>
      </c>
    </row>
    <row r="310" spans="1:3" x14ac:dyDescent="0.3">
      <c r="A310" t="s">
        <v>370</v>
      </c>
      <c r="B310" s="7">
        <v>1154</v>
      </c>
      <c r="C310" s="7">
        <v>179</v>
      </c>
    </row>
    <row r="311" spans="1:3" x14ac:dyDescent="0.3">
      <c r="A311" t="s">
        <v>371</v>
      </c>
      <c r="B311" s="7">
        <v>0</v>
      </c>
      <c r="C311" s="7">
        <v>16</v>
      </c>
    </row>
    <row r="312" spans="1:3" x14ac:dyDescent="0.3">
      <c r="A312" t="s">
        <v>372</v>
      </c>
      <c r="B312" s="7">
        <v>0</v>
      </c>
      <c r="C312" s="7">
        <v>0</v>
      </c>
    </row>
    <row r="313" spans="1:3" x14ac:dyDescent="0.3">
      <c r="A313" t="s">
        <v>373</v>
      </c>
      <c r="B313" s="7">
        <v>14</v>
      </c>
      <c r="C313" s="7">
        <v>5</v>
      </c>
    </row>
    <row r="314" spans="1:3" x14ac:dyDescent="0.3">
      <c r="A314" t="s">
        <v>374</v>
      </c>
      <c r="B314" s="7">
        <v>0</v>
      </c>
      <c r="C314" s="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5"/>
  <sheetViews>
    <sheetView zoomScale="95" workbookViewId="0">
      <pane ySplit="4" topLeftCell="A5" activePane="bottomLeft" state="frozen"/>
      <selection pane="bottomLeft" activeCell="A3" sqref="A3"/>
    </sheetView>
  </sheetViews>
  <sheetFormatPr defaultRowHeight="14.4" x14ac:dyDescent="0.3"/>
  <cols>
    <col min="1" max="1" width="58" customWidth="1"/>
    <col min="2" max="3" width="18" customWidth="1"/>
    <col min="4" max="4" width="4" customWidth="1"/>
  </cols>
  <sheetData>
    <row r="1" spans="1:3" ht="17.399999999999999" x14ac:dyDescent="0.35">
      <c r="A1" s="1" t="s">
        <v>30</v>
      </c>
    </row>
    <row r="2" spans="1:3" x14ac:dyDescent="0.3">
      <c r="A2" s="2" t="s">
        <v>31</v>
      </c>
    </row>
    <row r="3" spans="1:3" x14ac:dyDescent="0.3">
      <c r="A3" s="3" t="s">
        <v>375</v>
      </c>
    </row>
    <row r="4" spans="1:3" x14ac:dyDescent="0.3">
      <c r="A4" s="4" t="s">
        <v>33</v>
      </c>
    </row>
    <row r="6" spans="1:3" x14ac:dyDescent="0.3">
      <c r="A6" s="2" t="s">
        <v>34</v>
      </c>
      <c r="B6" s="5" t="s">
        <v>376</v>
      </c>
      <c r="C6" s="5" t="s">
        <v>377</v>
      </c>
    </row>
    <row r="7" spans="1:3" x14ac:dyDescent="0.3">
      <c r="A7" s="6" t="s">
        <v>37</v>
      </c>
    </row>
    <row r="8" spans="1:3" x14ac:dyDescent="0.3">
      <c r="A8" s="6" t="s">
        <v>38</v>
      </c>
    </row>
    <row r="9" spans="1:3" x14ac:dyDescent="0.3">
      <c r="A9" t="s">
        <v>39</v>
      </c>
      <c r="B9" s="7">
        <v>8897</v>
      </c>
      <c r="C9" s="7">
        <v>6857</v>
      </c>
    </row>
    <row r="10" spans="1:3" x14ac:dyDescent="0.3">
      <c r="A10" t="s">
        <v>40</v>
      </c>
      <c r="B10" s="7">
        <v>1200</v>
      </c>
      <c r="C10" s="7">
        <v>2270</v>
      </c>
    </row>
    <row r="11" spans="1:3" x14ac:dyDescent="0.3">
      <c r="A11" t="s">
        <v>41</v>
      </c>
      <c r="B11" s="7">
        <v>807</v>
      </c>
      <c r="C11" s="7">
        <v>853</v>
      </c>
    </row>
    <row r="12" spans="1:3" x14ac:dyDescent="0.3">
      <c r="A12" t="s">
        <v>42</v>
      </c>
      <c r="B12" s="7">
        <v>362</v>
      </c>
      <c r="C12" s="7">
        <v>497</v>
      </c>
    </row>
    <row r="13" spans="1:3" x14ac:dyDescent="0.3">
      <c r="A13" t="s">
        <v>43</v>
      </c>
      <c r="B13" s="7">
        <v>1101</v>
      </c>
      <c r="C13" s="7">
        <v>766</v>
      </c>
    </row>
    <row r="14" spans="1:3" x14ac:dyDescent="0.3">
      <c r="A14" t="s">
        <v>44</v>
      </c>
      <c r="B14" s="7">
        <v>32460</v>
      </c>
      <c r="C14" s="7">
        <v>30628</v>
      </c>
    </row>
    <row r="15" spans="1:3" x14ac:dyDescent="0.3">
      <c r="A15" t="s">
        <v>51</v>
      </c>
      <c r="B15" s="7">
        <v>272</v>
      </c>
      <c r="C15" s="7">
        <v>250</v>
      </c>
    </row>
    <row r="16" spans="1:3" x14ac:dyDescent="0.3">
      <c r="A16" t="s">
        <v>45</v>
      </c>
      <c r="B16" s="7">
        <v>17133</v>
      </c>
      <c r="C16" s="7">
        <v>15247</v>
      </c>
    </row>
    <row r="17" spans="1:3" x14ac:dyDescent="0.3">
      <c r="A17" t="s">
        <v>46</v>
      </c>
      <c r="B17" s="7">
        <v>58</v>
      </c>
      <c r="C17" s="7">
        <v>26</v>
      </c>
    </row>
    <row r="18" spans="1:3" x14ac:dyDescent="0.3">
      <c r="A18" t="s">
        <v>55</v>
      </c>
      <c r="B18" s="7">
        <v>135</v>
      </c>
      <c r="C18" s="7">
        <v>388</v>
      </c>
    </row>
    <row r="19" spans="1:3" x14ac:dyDescent="0.3">
      <c r="A19" s="8" t="s">
        <v>48</v>
      </c>
      <c r="B19" s="9">
        <v>62425</v>
      </c>
      <c r="C19" s="9">
        <v>57782</v>
      </c>
    </row>
    <row r="20" spans="1:3" x14ac:dyDescent="0.3">
      <c r="A20" s="6" t="s">
        <v>49</v>
      </c>
    </row>
    <row r="21" spans="1:3" x14ac:dyDescent="0.3">
      <c r="A21" t="s">
        <v>50</v>
      </c>
      <c r="B21" s="7">
        <v>8616</v>
      </c>
      <c r="C21" s="7">
        <v>5896</v>
      </c>
    </row>
    <row r="22" spans="1:3" x14ac:dyDescent="0.3">
      <c r="A22" t="s">
        <v>44</v>
      </c>
      <c r="B22" s="7">
        <v>54972</v>
      </c>
      <c r="C22" s="7">
        <v>49403</v>
      </c>
    </row>
    <row r="23" spans="1:3" x14ac:dyDescent="0.3">
      <c r="A23" t="s">
        <v>51</v>
      </c>
      <c r="B23" s="7">
        <v>6017</v>
      </c>
      <c r="C23" s="7">
        <v>7201</v>
      </c>
    </row>
    <row r="24" spans="1:3" x14ac:dyDescent="0.3">
      <c r="A24" t="s">
        <v>52</v>
      </c>
      <c r="B24" s="7">
        <v>304</v>
      </c>
      <c r="C24" s="7">
        <v>95</v>
      </c>
    </row>
    <row r="25" spans="1:3" x14ac:dyDescent="0.3">
      <c r="A25" t="s">
        <v>53</v>
      </c>
      <c r="B25" s="7">
        <v>2742</v>
      </c>
      <c r="C25" s="7">
        <v>1654</v>
      </c>
    </row>
    <row r="26" spans="1:3" x14ac:dyDescent="0.3">
      <c r="A26" t="s">
        <v>45</v>
      </c>
      <c r="B26" s="7">
        <v>251</v>
      </c>
      <c r="C26" s="7">
        <v>3518</v>
      </c>
    </row>
    <row r="27" spans="1:3" x14ac:dyDescent="0.3">
      <c r="A27" t="s">
        <v>46</v>
      </c>
      <c r="B27" s="7">
        <v>1638</v>
      </c>
      <c r="C27" s="7">
        <v>897</v>
      </c>
    </row>
    <row r="28" spans="1:3" x14ac:dyDescent="0.3">
      <c r="A28" t="s">
        <v>54</v>
      </c>
      <c r="B28" s="7">
        <v>720</v>
      </c>
      <c r="C28" s="7">
        <v>243</v>
      </c>
    </row>
    <row r="29" spans="1:3" x14ac:dyDescent="0.3">
      <c r="A29" t="s">
        <v>55</v>
      </c>
      <c r="B29" s="7">
        <v>2914</v>
      </c>
      <c r="C29" s="7">
        <v>3213</v>
      </c>
    </row>
    <row r="30" spans="1:3" x14ac:dyDescent="0.3">
      <c r="A30" s="8" t="s">
        <v>56</v>
      </c>
      <c r="B30" s="9">
        <v>78174</v>
      </c>
      <c r="C30" s="9">
        <v>72120</v>
      </c>
    </row>
    <row r="31" spans="1:3" x14ac:dyDescent="0.3">
      <c r="A31" s="10" t="s">
        <v>57</v>
      </c>
      <c r="B31" s="11">
        <v>140599</v>
      </c>
      <c r="C31" s="11">
        <v>129902</v>
      </c>
    </row>
    <row r="32" spans="1:3" x14ac:dyDescent="0.3">
      <c r="A32" s="6" t="s">
        <v>58</v>
      </c>
    </row>
    <row r="33" spans="1:3" x14ac:dyDescent="0.3">
      <c r="A33" s="6" t="s">
        <v>59</v>
      </c>
    </row>
    <row r="34" spans="1:3" x14ac:dyDescent="0.3">
      <c r="A34" t="s">
        <v>60</v>
      </c>
      <c r="B34" s="7">
        <v>4837</v>
      </c>
      <c r="C34" s="7">
        <v>4837</v>
      </c>
    </row>
    <row r="35" spans="1:3" x14ac:dyDescent="0.3">
      <c r="A35" t="s">
        <v>61</v>
      </c>
      <c r="B35" s="7">
        <v>96046</v>
      </c>
      <c r="C35" s="7">
        <v>88351</v>
      </c>
    </row>
    <row r="36" spans="1:3" x14ac:dyDescent="0.3">
      <c r="A36" s="8" t="s">
        <v>62</v>
      </c>
      <c r="B36" s="9">
        <v>100883</v>
      </c>
      <c r="C36" s="9">
        <v>93188</v>
      </c>
    </row>
    <row r="37" spans="1:3" x14ac:dyDescent="0.3">
      <c r="A37" s="6" t="s">
        <v>63</v>
      </c>
    </row>
    <row r="38" spans="1:3" x14ac:dyDescent="0.3">
      <c r="A38" t="s">
        <v>64</v>
      </c>
      <c r="B38" s="7">
        <v>18967</v>
      </c>
      <c r="C38" s="7">
        <v>17375</v>
      </c>
    </row>
    <row r="39" spans="1:3" x14ac:dyDescent="0.3">
      <c r="A39" t="s">
        <v>65</v>
      </c>
      <c r="B39" s="7">
        <v>32</v>
      </c>
      <c r="C39" s="7">
        <v>61</v>
      </c>
    </row>
    <row r="40" spans="1:3" x14ac:dyDescent="0.3">
      <c r="A40" t="s">
        <v>66</v>
      </c>
      <c r="B40" s="7">
        <v>1103</v>
      </c>
      <c r="C40" s="7">
        <v>1023</v>
      </c>
    </row>
    <row r="41" spans="1:3" x14ac:dyDescent="0.3">
      <c r="A41" t="s">
        <v>67</v>
      </c>
      <c r="B41" s="7">
        <v>138</v>
      </c>
      <c r="C41" s="7">
        <v>105</v>
      </c>
    </row>
    <row r="42" spans="1:3" x14ac:dyDescent="0.3">
      <c r="A42" t="s">
        <v>68</v>
      </c>
      <c r="B42" s="7">
        <v>1294</v>
      </c>
      <c r="C42" s="7">
        <v>1500</v>
      </c>
    </row>
    <row r="43" spans="1:3" x14ac:dyDescent="0.3">
      <c r="A43" s="8" t="s">
        <v>69</v>
      </c>
      <c r="B43" s="9">
        <v>21534</v>
      </c>
      <c r="C43" s="9">
        <v>20064</v>
      </c>
    </row>
    <row r="44" spans="1:3" x14ac:dyDescent="0.3">
      <c r="A44" s="6" t="s">
        <v>70</v>
      </c>
    </row>
    <row r="45" spans="1:3" x14ac:dyDescent="0.3">
      <c r="A45" t="s">
        <v>64</v>
      </c>
      <c r="B45" s="7">
        <v>2862</v>
      </c>
      <c r="C45" s="7">
        <v>2230</v>
      </c>
    </row>
    <row r="46" spans="1:3" x14ac:dyDescent="0.3">
      <c r="A46" t="s">
        <v>65</v>
      </c>
      <c r="B46" s="7">
        <v>119</v>
      </c>
      <c r="C46" s="7">
        <v>128</v>
      </c>
    </row>
    <row r="47" spans="1:3" x14ac:dyDescent="0.3">
      <c r="A47" t="s">
        <v>71</v>
      </c>
      <c r="B47" s="7">
        <v>633</v>
      </c>
      <c r="C47" s="7">
        <v>151</v>
      </c>
    </row>
    <row r="48" spans="1:3" x14ac:dyDescent="0.3">
      <c r="A48" t="s">
        <v>72</v>
      </c>
      <c r="B48" s="7">
        <v>1262</v>
      </c>
      <c r="C48" s="7">
        <v>1154</v>
      </c>
    </row>
    <row r="49" spans="1:3" x14ac:dyDescent="0.3">
      <c r="A49" t="s">
        <v>73</v>
      </c>
      <c r="B49" s="7">
        <v>9146</v>
      </c>
      <c r="C49" s="7">
        <v>9984</v>
      </c>
    </row>
    <row r="50" spans="1:3" x14ac:dyDescent="0.3">
      <c r="A50" t="s">
        <v>66</v>
      </c>
      <c r="B50" s="7">
        <v>1470</v>
      </c>
      <c r="C50" s="7">
        <v>1242</v>
      </c>
    </row>
    <row r="51" spans="1:3" x14ac:dyDescent="0.3">
      <c r="A51" t="s">
        <v>378</v>
      </c>
      <c r="B51" s="7">
        <v>1419</v>
      </c>
      <c r="C51" s="7">
        <v>1293</v>
      </c>
    </row>
    <row r="52" spans="1:3" x14ac:dyDescent="0.3">
      <c r="A52" t="s">
        <v>67</v>
      </c>
      <c r="B52" s="7">
        <v>97</v>
      </c>
      <c r="C52" s="7">
        <v>94</v>
      </c>
    </row>
    <row r="53" spans="1:3" x14ac:dyDescent="0.3">
      <c r="A53" t="s">
        <v>76</v>
      </c>
      <c r="B53" s="7">
        <v>1174</v>
      </c>
      <c r="C53" s="7">
        <v>374</v>
      </c>
    </row>
    <row r="54" spans="1:3" x14ac:dyDescent="0.3">
      <c r="A54" s="8" t="s">
        <v>77</v>
      </c>
      <c r="B54" s="9">
        <v>18182</v>
      </c>
      <c r="C54" s="9">
        <v>16650</v>
      </c>
    </row>
    <row r="55" spans="1:3" x14ac:dyDescent="0.3">
      <c r="A55" s="10" t="s">
        <v>78</v>
      </c>
      <c r="B55" s="11">
        <v>140599</v>
      </c>
      <c r="C55" s="11">
        <v>129902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4"/>
  <sheetViews>
    <sheetView workbookViewId="0">
      <pane ySplit="4" topLeftCell="A5" activePane="bottomLeft" state="frozen"/>
      <selection pane="bottomLeft" activeCell="B12" sqref="B12:B14"/>
    </sheetView>
  </sheetViews>
  <sheetFormatPr defaultRowHeight="14.4" x14ac:dyDescent="0.3"/>
  <cols>
    <col min="1" max="1" width="58" customWidth="1"/>
    <col min="2" max="3" width="18" customWidth="1"/>
    <col min="4" max="4" width="4" customWidth="1"/>
  </cols>
  <sheetData>
    <row r="1" spans="1:3" ht="17.399999999999999" x14ac:dyDescent="0.35">
      <c r="A1" s="1" t="s">
        <v>30</v>
      </c>
    </row>
    <row r="2" spans="1:3" x14ac:dyDescent="0.3">
      <c r="A2" s="2" t="s">
        <v>79</v>
      </c>
    </row>
    <row r="3" spans="1:3" x14ac:dyDescent="0.3">
      <c r="A3" s="3" t="s">
        <v>379</v>
      </c>
    </row>
    <row r="4" spans="1:3" x14ac:dyDescent="0.3">
      <c r="A4" s="4" t="s">
        <v>33</v>
      </c>
    </row>
    <row r="6" spans="1:3" x14ac:dyDescent="0.3">
      <c r="A6" s="2" t="s">
        <v>34</v>
      </c>
      <c r="B6" s="5" t="s">
        <v>376</v>
      </c>
      <c r="C6" s="5" t="s">
        <v>377</v>
      </c>
    </row>
    <row r="7" spans="1:3" x14ac:dyDescent="0.3">
      <c r="A7" s="6" t="s">
        <v>81</v>
      </c>
    </row>
    <row r="8" spans="1:3" x14ac:dyDescent="0.3">
      <c r="A8" t="s">
        <v>82</v>
      </c>
      <c r="B8" s="7">
        <v>57884</v>
      </c>
      <c r="C8" s="7">
        <v>50849</v>
      </c>
    </row>
    <row r="9" spans="1:3" x14ac:dyDescent="0.3">
      <c r="A9" t="s">
        <v>83</v>
      </c>
      <c r="B9" s="7">
        <v>5900</v>
      </c>
      <c r="C9" s="7">
        <v>6895</v>
      </c>
    </row>
    <row r="10" spans="1:3" x14ac:dyDescent="0.3">
      <c r="A10" s="8" t="s">
        <v>84</v>
      </c>
      <c r="B10" s="9">
        <v>63784</v>
      </c>
      <c r="C10" s="9">
        <v>57743</v>
      </c>
    </row>
    <row r="11" spans="1:3" x14ac:dyDescent="0.3">
      <c r="A11" s="6" t="s">
        <v>85</v>
      </c>
    </row>
    <row r="12" spans="1:3" x14ac:dyDescent="0.3">
      <c r="A12" t="s">
        <v>86</v>
      </c>
      <c r="B12" s="7">
        <v>19806</v>
      </c>
      <c r="C12" s="7">
        <v>19375</v>
      </c>
    </row>
    <row r="13" spans="1:3" x14ac:dyDescent="0.3">
      <c r="A13" t="s">
        <v>87</v>
      </c>
      <c r="B13" s="7">
        <v>16070</v>
      </c>
      <c r="C13" s="7">
        <v>8407</v>
      </c>
    </row>
    <row r="14" spans="1:3" x14ac:dyDescent="0.3">
      <c r="A14" t="s">
        <v>88</v>
      </c>
      <c r="B14" s="7">
        <v>-1762</v>
      </c>
      <c r="C14" s="7">
        <v>313</v>
      </c>
    </row>
    <row r="15" spans="1:3" x14ac:dyDescent="0.3">
      <c r="A15" t="s">
        <v>89</v>
      </c>
      <c r="B15" s="7">
        <v>4944</v>
      </c>
      <c r="C15" s="7">
        <v>4556</v>
      </c>
    </row>
    <row r="16" spans="1:3" x14ac:dyDescent="0.3">
      <c r="A16" t="s">
        <v>90</v>
      </c>
      <c r="B16" s="7">
        <v>1129</v>
      </c>
      <c r="C16" s="7">
        <v>784</v>
      </c>
    </row>
    <row r="17" spans="1:3" x14ac:dyDescent="0.3">
      <c r="A17" t="s">
        <v>91</v>
      </c>
      <c r="B17" s="7">
        <v>990</v>
      </c>
      <c r="C17" s="7">
        <v>940</v>
      </c>
    </row>
    <row r="18" spans="1:3" x14ac:dyDescent="0.3">
      <c r="A18" t="s">
        <v>92</v>
      </c>
      <c r="B18" s="7">
        <v>12035</v>
      </c>
      <c r="C18" s="7">
        <v>11273</v>
      </c>
    </row>
    <row r="19" spans="1:3" x14ac:dyDescent="0.3">
      <c r="A19" s="8" t="s">
        <v>93</v>
      </c>
      <c r="B19" s="9">
        <v>53210</v>
      </c>
      <c r="C19" s="9">
        <v>45647</v>
      </c>
    </row>
    <row r="20" spans="1:3" x14ac:dyDescent="0.3">
      <c r="A20" s="8" t="s">
        <v>94</v>
      </c>
      <c r="B20" s="9">
        <v>10574</v>
      </c>
      <c r="C20" s="9">
        <v>12096</v>
      </c>
    </row>
    <row r="21" spans="1:3" x14ac:dyDescent="0.3">
      <c r="A21" s="6" t="s">
        <v>95</v>
      </c>
    </row>
    <row r="22" spans="1:3" x14ac:dyDescent="0.3">
      <c r="A22" t="s">
        <v>96</v>
      </c>
      <c r="B22" s="7">
        <v>2411</v>
      </c>
      <c r="C22" s="7">
        <v>2125</v>
      </c>
    </row>
    <row r="23" spans="1:3" x14ac:dyDescent="0.3">
      <c r="A23" t="s">
        <v>97</v>
      </c>
      <c r="B23" s="7">
        <v>-14</v>
      </c>
      <c r="C23" s="7">
        <v>237</v>
      </c>
    </row>
    <row r="24" spans="1:3" x14ac:dyDescent="0.3">
      <c r="A24" s="8" t="s">
        <v>98</v>
      </c>
      <c r="B24" s="9">
        <v>2397</v>
      </c>
      <c r="C24" s="9">
        <v>2362</v>
      </c>
    </row>
    <row r="25" spans="1:3" x14ac:dyDescent="0.3">
      <c r="A25" s="8" t="s">
        <v>99</v>
      </c>
      <c r="B25" s="9">
        <v>8177</v>
      </c>
      <c r="C25" s="9">
        <v>9734</v>
      </c>
    </row>
    <row r="26" spans="1:3" x14ac:dyDescent="0.3">
      <c r="A26" s="6" t="s">
        <v>100</v>
      </c>
    </row>
    <row r="27" spans="1:3" x14ac:dyDescent="0.3">
      <c r="A27" t="s">
        <v>380</v>
      </c>
      <c r="B27" s="7">
        <v>-6</v>
      </c>
      <c r="C27" s="7">
        <v>-1</v>
      </c>
    </row>
    <row r="28" spans="1:3" x14ac:dyDescent="0.3">
      <c r="A28" t="s">
        <v>381</v>
      </c>
      <c r="B28" s="7">
        <v>-624</v>
      </c>
      <c r="C28" s="7">
        <v>408</v>
      </c>
    </row>
    <row r="29" spans="1:3" x14ac:dyDescent="0.3">
      <c r="A29" t="s">
        <v>103</v>
      </c>
      <c r="B29" s="7">
        <v>147</v>
      </c>
      <c r="C29" s="7">
        <v>65</v>
      </c>
    </row>
    <row r="30" spans="1:3" x14ac:dyDescent="0.3">
      <c r="A30" s="8" t="s">
        <v>104</v>
      </c>
      <c r="B30" s="9">
        <v>-483</v>
      </c>
      <c r="C30" s="9">
        <v>472</v>
      </c>
    </row>
    <row r="31" spans="1:3" ht="15" thickBot="1" x14ac:dyDescent="0.35">
      <c r="A31" s="10" t="s">
        <v>105</v>
      </c>
      <c r="B31" s="11">
        <v>7694</v>
      </c>
      <c r="C31" s="11">
        <v>10206</v>
      </c>
    </row>
    <row r="32" spans="1:3" ht="15" thickTop="1" x14ac:dyDescent="0.3">
      <c r="A32" s="6" t="s">
        <v>106</v>
      </c>
    </row>
    <row r="33" spans="1:3" x14ac:dyDescent="0.3">
      <c r="A33" t="s">
        <v>107</v>
      </c>
      <c r="B33" s="7">
        <v>483662163</v>
      </c>
      <c r="C33" s="7">
        <v>483662163</v>
      </c>
    </row>
    <row r="34" spans="1:3" x14ac:dyDescent="0.3">
      <c r="A34" t="s">
        <v>108</v>
      </c>
      <c r="B34" s="7">
        <v>16.91</v>
      </c>
      <c r="C34" s="7">
        <v>20.13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2"/>
  <sheetViews>
    <sheetView workbookViewId="0">
      <pane ySplit="4" topLeftCell="A28" activePane="bottomLeft" state="frozen"/>
      <selection pane="bottomLeft" activeCell="A6" sqref="A6:A52"/>
    </sheetView>
  </sheetViews>
  <sheetFormatPr defaultRowHeight="14.4" x14ac:dyDescent="0.3"/>
  <cols>
    <col min="1" max="1" width="58" customWidth="1"/>
    <col min="2" max="3" width="18" customWidth="1"/>
    <col min="4" max="4" width="4" customWidth="1"/>
  </cols>
  <sheetData>
    <row r="1" spans="1:3" ht="17.399999999999999" x14ac:dyDescent="0.35">
      <c r="A1" s="1" t="s">
        <v>30</v>
      </c>
    </row>
    <row r="2" spans="1:3" x14ac:dyDescent="0.3">
      <c r="A2" s="2" t="s">
        <v>109</v>
      </c>
    </row>
    <row r="3" spans="1:3" x14ac:dyDescent="0.3">
      <c r="A3" s="3" t="s">
        <v>382</v>
      </c>
    </row>
    <row r="4" spans="1:3" x14ac:dyDescent="0.3">
      <c r="A4" s="4" t="s">
        <v>33</v>
      </c>
    </row>
    <row r="6" spans="1:3" x14ac:dyDescent="0.3">
      <c r="A6" s="2" t="s">
        <v>34</v>
      </c>
      <c r="B6" s="5" t="s">
        <v>376</v>
      </c>
      <c r="C6" s="5" t="s">
        <v>377</v>
      </c>
    </row>
    <row r="7" spans="1:3" x14ac:dyDescent="0.3">
      <c r="A7" s="6" t="s">
        <v>111</v>
      </c>
    </row>
    <row r="8" spans="1:3" x14ac:dyDescent="0.3">
      <c r="A8" t="s">
        <v>94</v>
      </c>
      <c r="B8" s="7">
        <v>10574</v>
      </c>
      <c r="C8" s="7">
        <v>12096</v>
      </c>
    </row>
    <row r="9" spans="1:3" x14ac:dyDescent="0.3">
      <c r="A9" t="s">
        <v>112</v>
      </c>
      <c r="B9" s="7">
        <v>990</v>
      </c>
      <c r="C9" s="7">
        <v>940</v>
      </c>
    </row>
    <row r="10" spans="1:3" x14ac:dyDescent="0.3">
      <c r="A10" t="s">
        <v>113</v>
      </c>
      <c r="B10" s="7">
        <v>1129</v>
      </c>
      <c r="C10" s="7">
        <v>784</v>
      </c>
    </row>
    <row r="11" spans="1:3" x14ac:dyDescent="0.3">
      <c r="A11" t="s">
        <v>114</v>
      </c>
      <c r="B11" s="7">
        <v>189</v>
      </c>
      <c r="C11" s="7">
        <v>-1719</v>
      </c>
    </row>
    <row r="12" spans="1:3" x14ac:dyDescent="0.3">
      <c r="A12" t="s">
        <v>115</v>
      </c>
      <c r="B12" s="7">
        <v>-2447</v>
      </c>
      <c r="C12" s="7">
        <v>-2016</v>
      </c>
    </row>
    <row r="13" spans="1:3" x14ac:dyDescent="0.3">
      <c r="A13" t="s">
        <v>116</v>
      </c>
      <c r="B13" s="7">
        <v>-2938</v>
      </c>
      <c r="C13" s="7">
        <v>-1001</v>
      </c>
    </row>
    <row r="14" spans="1:3" x14ac:dyDescent="0.3">
      <c r="A14" t="s">
        <v>117</v>
      </c>
      <c r="B14" s="7">
        <v>0</v>
      </c>
      <c r="C14" s="7">
        <v>-1762</v>
      </c>
    </row>
    <row r="15" spans="1:3" x14ac:dyDescent="0.3">
      <c r="A15" t="s">
        <v>118</v>
      </c>
      <c r="B15" s="7">
        <v>-31</v>
      </c>
      <c r="C15" s="7">
        <v>-32</v>
      </c>
    </row>
    <row r="16" spans="1:3" x14ac:dyDescent="0.3">
      <c r="A16" t="s">
        <v>119</v>
      </c>
      <c r="B16" s="7">
        <v>-19</v>
      </c>
      <c r="C16" s="7">
        <v>-5</v>
      </c>
    </row>
    <row r="17" spans="1:3" x14ac:dyDescent="0.3">
      <c r="A17" t="s">
        <v>120</v>
      </c>
      <c r="B17" s="7">
        <v>-54</v>
      </c>
      <c r="C17" s="7">
        <v>-6</v>
      </c>
    </row>
    <row r="18" spans="1:3" x14ac:dyDescent="0.3">
      <c r="A18" t="s">
        <v>121</v>
      </c>
      <c r="B18" s="7">
        <v>1181</v>
      </c>
      <c r="C18" s="7">
        <v>-3246</v>
      </c>
    </row>
    <row r="19" spans="1:3" x14ac:dyDescent="0.3">
      <c r="A19" t="s">
        <v>122</v>
      </c>
      <c r="B19" s="7">
        <v>-397</v>
      </c>
      <c r="C19" s="7">
        <v>953</v>
      </c>
    </row>
    <row r="20" spans="1:3" x14ac:dyDescent="0.3">
      <c r="A20" t="s">
        <v>123</v>
      </c>
      <c r="B20" s="7">
        <v>-2720</v>
      </c>
      <c r="C20" s="7">
        <v>-47</v>
      </c>
    </row>
    <row r="21" spans="1:3" x14ac:dyDescent="0.3">
      <c r="A21" t="s">
        <v>124</v>
      </c>
      <c r="B21" s="7">
        <v>-248</v>
      </c>
      <c r="C21" s="7">
        <v>2338</v>
      </c>
    </row>
    <row r="22" spans="1:3" x14ac:dyDescent="0.3">
      <c r="A22" s="8" t="s">
        <v>125</v>
      </c>
      <c r="B22" s="9">
        <v>5209</v>
      </c>
      <c r="C22" s="9">
        <v>7278</v>
      </c>
    </row>
    <row r="23" spans="1:3" x14ac:dyDescent="0.3">
      <c r="A23" t="s">
        <v>126</v>
      </c>
      <c r="B23" s="7">
        <v>-2088</v>
      </c>
      <c r="C23" s="7">
        <v>-1902</v>
      </c>
    </row>
    <row r="24" spans="1:3" x14ac:dyDescent="0.3">
      <c r="A24" s="8" t="s">
        <v>127</v>
      </c>
      <c r="B24" s="9">
        <v>3121</v>
      </c>
      <c r="C24" s="9">
        <v>5377</v>
      </c>
    </row>
    <row r="25" spans="1:3" x14ac:dyDescent="0.3">
      <c r="A25" s="6" t="s">
        <v>128</v>
      </c>
    </row>
    <row r="26" spans="1:3" x14ac:dyDescent="0.3">
      <c r="A26" t="s">
        <v>129</v>
      </c>
      <c r="B26" s="7">
        <v>-2192</v>
      </c>
      <c r="C26" s="7">
        <v>-1601</v>
      </c>
    </row>
    <row r="27" spans="1:3" x14ac:dyDescent="0.3">
      <c r="A27" t="s">
        <v>130</v>
      </c>
      <c r="B27" s="7">
        <v>31</v>
      </c>
      <c r="C27" s="7">
        <v>32</v>
      </c>
    </row>
    <row r="28" spans="1:3" x14ac:dyDescent="0.3">
      <c r="A28" t="s">
        <v>131</v>
      </c>
      <c r="B28" s="7">
        <v>-255</v>
      </c>
      <c r="C28" s="7">
        <v>-105</v>
      </c>
    </row>
    <row r="29" spans="1:3" x14ac:dyDescent="0.3">
      <c r="A29" t="s">
        <v>132</v>
      </c>
      <c r="B29" s="7">
        <v>-90543</v>
      </c>
      <c r="C29" s="7">
        <v>-101201</v>
      </c>
    </row>
    <row r="30" spans="1:3" x14ac:dyDescent="0.3">
      <c r="A30" t="s">
        <v>133</v>
      </c>
      <c r="B30" s="7">
        <v>-75</v>
      </c>
      <c r="C30" s="7">
        <v>-150</v>
      </c>
    </row>
    <row r="31" spans="1:3" x14ac:dyDescent="0.3">
      <c r="A31" t="s">
        <v>134</v>
      </c>
      <c r="B31" s="7">
        <v>87684</v>
      </c>
      <c r="C31" s="7">
        <v>103271</v>
      </c>
    </row>
    <row r="32" spans="1:3" x14ac:dyDescent="0.3">
      <c r="A32" t="s">
        <v>135</v>
      </c>
      <c r="B32" s="7">
        <v>450</v>
      </c>
      <c r="C32" s="7">
        <v>1774</v>
      </c>
    </row>
    <row r="33" spans="1:3" x14ac:dyDescent="0.3">
      <c r="A33" t="s">
        <v>136</v>
      </c>
      <c r="B33" s="7">
        <v>-1659</v>
      </c>
      <c r="C33" s="7">
        <v>-5348</v>
      </c>
    </row>
    <row r="34" spans="1:3" x14ac:dyDescent="0.3">
      <c r="A34" t="s">
        <v>137</v>
      </c>
      <c r="B34" s="7">
        <v>-2136</v>
      </c>
      <c r="C34" s="7">
        <v>-16448</v>
      </c>
    </row>
    <row r="35" spans="1:3" x14ac:dyDescent="0.3">
      <c r="A35" t="s">
        <v>138</v>
      </c>
      <c r="B35" s="7">
        <v>3518</v>
      </c>
      <c r="C35" s="7">
        <v>-3518</v>
      </c>
    </row>
    <row r="36" spans="1:3" x14ac:dyDescent="0.3">
      <c r="A36" t="s">
        <v>139</v>
      </c>
      <c r="B36" s="7">
        <v>2077</v>
      </c>
      <c r="C36" s="7">
        <v>1047</v>
      </c>
    </row>
    <row r="37" spans="1:3" x14ac:dyDescent="0.3">
      <c r="A37" s="8" t="s">
        <v>140</v>
      </c>
      <c r="B37" s="9">
        <v>-3100</v>
      </c>
      <c r="C37" s="9">
        <v>-22247</v>
      </c>
    </row>
    <row r="38" spans="1:3" x14ac:dyDescent="0.3">
      <c r="A38" s="6" t="s">
        <v>141</v>
      </c>
    </row>
    <row r="39" spans="1:3" x14ac:dyDescent="0.3">
      <c r="A39" t="s">
        <v>142</v>
      </c>
      <c r="B39" s="7">
        <v>-1114</v>
      </c>
      <c r="C39" s="7">
        <v>-778</v>
      </c>
    </row>
    <row r="40" spans="1:3" x14ac:dyDescent="0.3">
      <c r="A40" t="s">
        <v>143</v>
      </c>
      <c r="B40" s="7">
        <v>11326</v>
      </c>
      <c r="C40" s="7">
        <v>19407</v>
      </c>
    </row>
    <row r="41" spans="1:3" x14ac:dyDescent="0.3">
      <c r="A41" t="s">
        <v>144</v>
      </c>
      <c r="B41" s="7">
        <v>-56</v>
      </c>
      <c r="C41" s="7">
        <v>-77</v>
      </c>
    </row>
    <row r="42" spans="1:3" x14ac:dyDescent="0.3">
      <c r="A42" t="s">
        <v>145</v>
      </c>
      <c r="B42" s="7">
        <v>-9090</v>
      </c>
      <c r="C42" s="7">
        <v>-1407</v>
      </c>
    </row>
    <row r="43" spans="1:3" x14ac:dyDescent="0.3">
      <c r="A43" s="8" t="s">
        <v>146</v>
      </c>
      <c r="B43" s="9">
        <v>1066</v>
      </c>
      <c r="C43" s="9">
        <v>17145</v>
      </c>
    </row>
    <row r="44" spans="1:3" x14ac:dyDescent="0.3">
      <c r="A44" s="8" t="s">
        <v>147</v>
      </c>
      <c r="B44" s="9">
        <v>1088</v>
      </c>
      <c r="C44" s="9">
        <v>275</v>
      </c>
    </row>
    <row r="45" spans="1:3" x14ac:dyDescent="0.3">
      <c r="A45" t="s">
        <v>148</v>
      </c>
      <c r="B45" s="7">
        <v>1654</v>
      </c>
      <c r="C45" s="7">
        <v>1379</v>
      </c>
    </row>
    <row r="46" spans="1:3" x14ac:dyDescent="0.3">
      <c r="A46" s="10" t="s">
        <v>149</v>
      </c>
      <c r="B46" s="11">
        <v>2742</v>
      </c>
      <c r="C46" s="11">
        <v>1654</v>
      </c>
    </row>
    <row r="47" spans="1:3" x14ac:dyDescent="0.3">
      <c r="A47" s="6" t="s">
        <v>150</v>
      </c>
    </row>
    <row r="48" spans="1:3" x14ac:dyDescent="0.3">
      <c r="A48" t="s">
        <v>151</v>
      </c>
      <c r="B48" s="7">
        <v>1390</v>
      </c>
      <c r="C48" s="7">
        <v>798</v>
      </c>
    </row>
    <row r="49" spans="1:3" x14ac:dyDescent="0.3">
      <c r="A49" t="s">
        <v>152</v>
      </c>
      <c r="B49" s="7">
        <v>120</v>
      </c>
      <c r="C49" s="7">
        <v>80</v>
      </c>
    </row>
    <row r="50" spans="1:3" x14ac:dyDescent="0.3">
      <c r="A50" t="s">
        <v>153</v>
      </c>
      <c r="B50" s="7">
        <v>1214</v>
      </c>
      <c r="C50" s="7">
        <v>768</v>
      </c>
    </row>
    <row r="51" spans="1:3" x14ac:dyDescent="0.3">
      <c r="A51" t="s">
        <v>154</v>
      </c>
      <c r="B51" s="7">
        <v>18</v>
      </c>
      <c r="C51" s="7">
        <v>7</v>
      </c>
    </row>
    <row r="52" spans="1:3" x14ac:dyDescent="0.3">
      <c r="A52" t="s">
        <v>155</v>
      </c>
      <c r="B52" s="7">
        <v>0</v>
      </c>
      <c r="C52" s="7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F97D-1634-4DFB-8E59-257614FC245A}">
  <dimension ref="B2:M52"/>
  <sheetViews>
    <sheetView workbookViewId="0">
      <selection activeCell="D31" sqref="D31"/>
    </sheetView>
  </sheetViews>
  <sheetFormatPr defaultRowHeight="14.4" x14ac:dyDescent="0.3"/>
  <cols>
    <col min="1" max="1" width="1.88671875" customWidth="1"/>
    <col min="2" max="2" width="44.44140625" bestFit="1" customWidth="1"/>
    <col min="3" max="3" width="8.6640625" customWidth="1"/>
    <col min="4" max="4" width="15.88671875" customWidth="1"/>
    <col min="5" max="5" width="6" bestFit="1" customWidth="1"/>
  </cols>
  <sheetData>
    <row r="2" spans="2:12" x14ac:dyDescent="0.3">
      <c r="B2" s="2" t="s">
        <v>34</v>
      </c>
      <c r="C2" s="5" t="s">
        <v>36</v>
      </c>
      <c r="D2" s="37">
        <v>2021</v>
      </c>
      <c r="E2" s="37"/>
    </row>
    <row r="3" spans="2:12" x14ac:dyDescent="0.3">
      <c r="B3" s="6" t="s">
        <v>37</v>
      </c>
    </row>
    <row r="4" spans="2:12" x14ac:dyDescent="0.3">
      <c r="B4" s="6" t="s">
        <v>38</v>
      </c>
    </row>
    <row r="5" spans="2:12" x14ac:dyDescent="0.3">
      <c r="B5" t="s">
        <v>39</v>
      </c>
      <c r="C5" s="7">
        <v>6866</v>
      </c>
      <c r="D5">
        <f>IFERROR(INDEX('BS 2021-22'!C9:C18,MATCH('_Combined Balance Sheet'!B5,'BS 2021-22'!A9:A19,0)),0)</f>
        <v>6857</v>
      </c>
    </row>
    <row r="6" spans="2:12" x14ac:dyDescent="0.3">
      <c r="B6" t="s">
        <v>40</v>
      </c>
      <c r="C6" s="7">
        <v>578</v>
      </c>
      <c r="D6">
        <f>IFERROR(INDEX('BS 2021-22'!C10:C19,MATCH('_Combined Balance Sheet'!B6,'BS 2021-22'!A10:A20,0)),0)</f>
        <v>2270</v>
      </c>
    </row>
    <row r="7" spans="2:12" x14ac:dyDescent="0.3">
      <c r="B7" t="s">
        <v>41</v>
      </c>
      <c r="C7" s="7">
        <v>948</v>
      </c>
      <c r="D7">
        <f>IFERROR(INDEX('BS 2021-22'!C11:C20,MATCH('_Combined Balance Sheet'!B7,'BS 2021-22'!A11:A21,0)),0)</f>
        <v>853</v>
      </c>
    </row>
    <row r="8" spans="2:12" x14ac:dyDescent="0.3">
      <c r="B8" t="s">
        <v>42</v>
      </c>
      <c r="C8" s="7">
        <v>497</v>
      </c>
      <c r="D8">
        <f>IFERROR(INDEX('BS 2021-22'!C12:C21,MATCH('_Combined Balance Sheet'!B8,'BS 2021-22'!A12:A22,0)),0)</f>
        <v>497</v>
      </c>
    </row>
    <row r="9" spans="2:12" x14ac:dyDescent="0.3">
      <c r="B9" t="s">
        <v>43</v>
      </c>
      <c r="C9" s="7">
        <v>791</v>
      </c>
      <c r="D9">
        <f>IFERROR(INDEX('BS 2021-22'!C13:C22,MATCH('_Combined Balance Sheet'!B9,'BS 2021-22'!A13:A23,0)),0)</f>
        <v>766</v>
      </c>
    </row>
    <row r="10" spans="2:12" x14ac:dyDescent="0.3">
      <c r="B10" t="s">
        <v>44</v>
      </c>
      <c r="C10" s="7">
        <v>24560</v>
      </c>
      <c r="D10">
        <f>IFERROR(INDEX('BS 2021-22'!C14:C23,MATCH('_Combined Balance Sheet'!B10,'BS 2021-22'!A14:A24,0)),0)</f>
        <v>30628</v>
      </c>
    </row>
    <row r="11" spans="2:12" x14ac:dyDescent="0.3">
      <c r="B11" t="s">
        <v>45</v>
      </c>
      <c r="C11" s="7">
        <v>483</v>
      </c>
      <c r="D11">
        <f>IFERROR(INDEX('BS 2021-22'!C15:C24,MATCH('_Combined Balance Sheet'!B11,'BS 2021-22'!A15:A25,0)),0)</f>
        <v>15247</v>
      </c>
    </row>
    <row r="12" spans="2:12" x14ac:dyDescent="0.3">
      <c r="B12" t="s">
        <v>46</v>
      </c>
      <c r="C12" s="7">
        <v>0</v>
      </c>
      <c r="D12">
        <f>IFERROR(INDEX('BS 2021-22'!C16:C25,MATCH('_Combined Balance Sheet'!B12,'BS 2021-22'!A16:A26,0)),0)</f>
        <v>26</v>
      </c>
    </row>
    <row r="13" spans="2:12" x14ac:dyDescent="0.3">
      <c r="B13" t="s">
        <v>47</v>
      </c>
      <c r="C13" s="7">
        <v>120</v>
      </c>
      <c r="D13">
        <f>IFERROR(INDEX('BS 2021-22'!C17:C26,MATCH('_Combined Balance Sheet'!B13,'BS 2021-22'!A17:A27,0)),0)</f>
        <v>0</v>
      </c>
    </row>
    <row r="14" spans="2:12" x14ac:dyDescent="0.3">
      <c r="B14" s="8" t="s">
        <v>48</v>
      </c>
      <c r="C14" s="38">
        <v>34843</v>
      </c>
      <c r="D14" s="40">
        <f>IFERROR(INDEX('BS 2021-22'!C18:C27,MATCH('_Combined Balance Sheet'!B14,'BS 2021-22'!A18:A28,0)),0)</f>
        <v>57782</v>
      </c>
      <c r="E14" s="40"/>
      <c r="F14" s="40"/>
      <c r="G14" s="40"/>
      <c r="H14" s="40"/>
      <c r="I14" s="40"/>
      <c r="J14" s="40"/>
      <c r="K14" s="40"/>
      <c r="L14" s="40"/>
    </row>
    <row r="15" spans="2:12" x14ac:dyDescent="0.3">
      <c r="B15" s="6" t="s">
        <v>49</v>
      </c>
    </row>
    <row r="16" spans="2:12" x14ac:dyDescent="0.3">
      <c r="B16" t="s">
        <v>50</v>
      </c>
      <c r="C16" s="7">
        <v>5846</v>
      </c>
      <c r="D16">
        <f>IFERROR(INDEX('BS 2021-22'!C21:C31,MATCH('_Combined Balance Sheet'!B16,'BS 2021-22'!A21:A31,0)),0)</f>
        <v>5896</v>
      </c>
    </row>
    <row r="17" spans="2:13" x14ac:dyDescent="0.3">
      <c r="B17" t="s">
        <v>44</v>
      </c>
      <c r="C17" s="7">
        <v>47238</v>
      </c>
      <c r="D17">
        <f>IFERROR(INDEX('BS 2021-22'!C22:C32,MATCH('_Combined Balance Sheet'!B17,'BS 2021-22'!A22:A32,0)),0)</f>
        <v>49403</v>
      </c>
    </row>
    <row r="18" spans="2:13" x14ac:dyDescent="0.3">
      <c r="B18" t="s">
        <v>51</v>
      </c>
      <c r="C18" s="7">
        <v>4309</v>
      </c>
      <c r="D18">
        <f>IFERROR(INDEX('BS 2021-22'!C23:C33,MATCH('_Combined Balance Sheet'!B18,'BS 2021-22'!A23:A33,0)),0)</f>
        <v>7201</v>
      </c>
    </row>
    <row r="19" spans="2:13" x14ac:dyDescent="0.3">
      <c r="B19" t="s">
        <v>52</v>
      </c>
      <c r="C19" s="7">
        <v>2</v>
      </c>
      <c r="D19">
        <f>IFERROR(INDEX('BS 2021-22'!C24:C34,MATCH('_Combined Balance Sheet'!B19,'BS 2021-22'!A24:A34,0)),0)</f>
        <v>95</v>
      </c>
    </row>
    <row r="20" spans="2:13" x14ac:dyDescent="0.3">
      <c r="B20" t="s">
        <v>53</v>
      </c>
      <c r="C20" s="7">
        <v>1350</v>
      </c>
      <c r="D20">
        <f>IFERROR(INDEX('BS 2021-22'!C25:C35,MATCH('_Combined Balance Sheet'!B20,'BS 2021-22'!A25:A35,0)),0)</f>
        <v>1654</v>
      </c>
    </row>
    <row r="21" spans="2:13" x14ac:dyDescent="0.3">
      <c r="B21" t="s">
        <v>45</v>
      </c>
      <c r="C21" s="7">
        <v>237</v>
      </c>
      <c r="D21">
        <f>IFERROR(INDEX('BS 2021-22'!C26:C36,MATCH('_Combined Balance Sheet'!B21,'BS 2021-22'!A26:A36,0)),0)</f>
        <v>3518</v>
      </c>
    </row>
    <row r="22" spans="2:13" x14ac:dyDescent="0.3">
      <c r="B22" t="s">
        <v>46</v>
      </c>
      <c r="C22" s="7">
        <v>251</v>
      </c>
      <c r="D22">
        <f>IFERROR(INDEX('BS 2021-22'!C27:C37,MATCH('_Combined Balance Sheet'!B22,'BS 2021-22'!A27:A37,0)),0)</f>
        <v>897</v>
      </c>
    </row>
    <row r="23" spans="2:13" x14ac:dyDescent="0.3">
      <c r="B23" t="s">
        <v>54</v>
      </c>
      <c r="C23" s="7">
        <v>304</v>
      </c>
      <c r="D23">
        <f>IFERROR(INDEX('BS 2021-22'!C28:C38,MATCH('_Combined Balance Sheet'!B23,'BS 2021-22'!A28:A38,0)),0)</f>
        <v>243</v>
      </c>
    </row>
    <row r="24" spans="2:13" x14ac:dyDescent="0.3">
      <c r="B24" t="s">
        <v>55</v>
      </c>
      <c r="C24" s="7">
        <v>3941</v>
      </c>
      <c r="D24">
        <f>IFERROR(INDEX('BS 2021-22'!C29:C39,MATCH('_Combined Balance Sheet'!B24,'BS 2021-22'!A29:A39,0)),0)</f>
        <v>3213</v>
      </c>
    </row>
    <row r="25" spans="2:13" x14ac:dyDescent="0.3">
      <c r="B25" s="8" t="s">
        <v>56</v>
      </c>
      <c r="C25" s="9">
        <v>63478</v>
      </c>
      <c r="D25" s="9">
        <f>IFERROR(INDEX('BS 2021-22'!C30:C40,MATCH('_Combined Balance Sheet'!B25,'BS 2021-22'!A30:A40,0)),0)</f>
        <v>72120</v>
      </c>
      <c r="E25" s="38"/>
      <c r="F25" s="38"/>
      <c r="G25" s="38"/>
      <c r="H25" s="38"/>
      <c r="I25" s="38"/>
      <c r="J25" s="38"/>
      <c r="K25" s="38"/>
      <c r="L25" s="38"/>
      <c r="M25" s="38"/>
    </row>
    <row r="26" spans="2:13" ht="15" thickBot="1" x14ac:dyDescent="0.35">
      <c r="B26" s="10" t="s">
        <v>57</v>
      </c>
      <c r="C26" s="11">
        <v>98321</v>
      </c>
      <c r="D26" s="11">
        <f>IFERROR(INDEX('BS 2021-22'!C31:C41,MATCH('_Combined Balance Sheet'!B26,'BS 2021-22'!A31:A41,0)),0)</f>
        <v>129902</v>
      </c>
      <c r="E26" s="39"/>
      <c r="F26" s="39"/>
      <c r="G26" s="39"/>
      <c r="H26" s="39"/>
      <c r="I26" s="39"/>
      <c r="J26" s="39"/>
      <c r="K26" s="39"/>
      <c r="L26" s="39"/>
      <c r="M26" s="39"/>
    </row>
    <row r="27" spans="2:13" ht="15" thickTop="1" x14ac:dyDescent="0.3">
      <c r="B27" s="6" t="s">
        <v>58</v>
      </c>
    </row>
    <row r="28" spans="2:13" x14ac:dyDescent="0.3">
      <c r="B28" s="6" t="s">
        <v>59</v>
      </c>
    </row>
    <row r="29" spans="2:13" x14ac:dyDescent="0.3">
      <c r="B29" t="s">
        <v>60</v>
      </c>
      <c r="C29" s="7">
        <v>4837</v>
      </c>
      <c r="D29">
        <f>IFERROR(INDEX('BS 2021-22'!C34:C36,MATCH('_Combined Balance Sheet'!B29,'BS 2021-22'!A34:A35,0)),0)</f>
        <v>4837</v>
      </c>
    </row>
    <row r="30" spans="2:13" x14ac:dyDescent="0.3">
      <c r="B30" t="s">
        <v>61</v>
      </c>
      <c r="C30" s="7">
        <v>78152</v>
      </c>
      <c r="D30">
        <f>IFERROR(INDEX('BS 2021-22'!C35:C37,MATCH('_Combined Balance Sheet'!B30,'BS 2021-22'!A35:A36,0)),0)</f>
        <v>88351</v>
      </c>
    </row>
    <row r="31" spans="2:13" x14ac:dyDescent="0.3">
      <c r="B31" s="8" t="s">
        <v>62</v>
      </c>
      <c r="C31" s="9">
        <v>82989</v>
      </c>
      <c r="D31" s="9" t="s">
        <v>699</v>
      </c>
      <c r="E31" s="9"/>
      <c r="F31" s="9"/>
      <c r="G31" s="9"/>
      <c r="H31" s="9"/>
      <c r="I31" s="9"/>
      <c r="J31" s="9"/>
      <c r="K31" s="9"/>
      <c r="L31" s="9"/>
      <c r="M31" s="9"/>
    </row>
    <row r="32" spans="2:13" x14ac:dyDescent="0.3">
      <c r="B32" s="6" t="s">
        <v>63</v>
      </c>
    </row>
    <row r="33" spans="2:13" x14ac:dyDescent="0.3">
      <c r="B33" t="s">
        <v>64</v>
      </c>
      <c r="C33" s="7">
        <v>1192</v>
      </c>
      <c r="D33">
        <f>IFERROR(INDEX('BS 2020-21'!C37:C42,MATCH('_Combined Balance Sheet'!B33,'BS 2020-21'!A37:A42,0)),0)</f>
        <v>1192</v>
      </c>
    </row>
    <row r="34" spans="2:13" x14ac:dyDescent="0.3">
      <c r="B34" t="s">
        <v>65</v>
      </c>
      <c r="C34" s="7">
        <v>130</v>
      </c>
      <c r="D34">
        <f>IFERROR(INDEX('BS 2020-21'!C38:C43,MATCH('_Combined Balance Sheet'!B34,'BS 2020-21'!A38:A43,0)),0)</f>
        <v>130</v>
      </c>
    </row>
    <row r="35" spans="2:13" x14ac:dyDescent="0.3">
      <c r="B35" t="s">
        <v>66</v>
      </c>
      <c r="C35" s="7">
        <v>28</v>
      </c>
      <c r="D35">
        <f>IFERROR(INDEX('BS 2020-21'!C39:C44,MATCH('_Combined Balance Sheet'!B35,'BS 2020-21'!A39:A44,0)),0)</f>
        <v>28</v>
      </c>
    </row>
    <row r="36" spans="2:13" x14ac:dyDescent="0.3">
      <c r="B36" t="s">
        <v>67</v>
      </c>
      <c r="C36" s="7">
        <v>183</v>
      </c>
      <c r="D36">
        <f>IFERROR(INDEX('BS 2020-21'!C40:C45,MATCH('_Combined Balance Sheet'!B36,'BS 2020-21'!A40:A45,0)),0)</f>
        <v>183</v>
      </c>
    </row>
    <row r="37" spans="2:13" x14ac:dyDescent="0.3">
      <c r="B37" t="s">
        <v>68</v>
      </c>
      <c r="C37" s="7">
        <v>1224</v>
      </c>
      <c r="D37">
        <f>IFERROR(INDEX('BS 2020-21'!C41:C46,MATCH('_Combined Balance Sheet'!B37,'BS 2020-21'!A41:A46,0)),0)</f>
        <v>1224</v>
      </c>
    </row>
    <row r="38" spans="2:13" x14ac:dyDescent="0.3">
      <c r="B38" s="8" t="s">
        <v>69</v>
      </c>
      <c r="C38" s="9">
        <v>2757</v>
      </c>
      <c r="D38" s="38">
        <f>IFERROR(INDEX('BS 2020-21'!C42:C47,MATCH('_Combined Balance Sheet'!B38,'BS 2020-21'!A42:A47,0)),0)</f>
        <v>2757</v>
      </c>
      <c r="E38" s="9"/>
      <c r="F38" s="9"/>
      <c r="G38" s="9"/>
      <c r="H38" s="9"/>
      <c r="I38" s="9"/>
      <c r="J38" s="9"/>
      <c r="K38" s="9"/>
      <c r="L38" s="9"/>
      <c r="M38" s="9"/>
    </row>
    <row r="39" spans="2:13" x14ac:dyDescent="0.3">
      <c r="B39" s="6" t="s">
        <v>49</v>
      </c>
    </row>
    <row r="40" spans="2:13" x14ac:dyDescent="0.3">
      <c r="B40" t="s">
        <v>64</v>
      </c>
      <c r="C40" s="7">
        <v>761</v>
      </c>
      <c r="D40">
        <f>IFERROR(INDEX('BS 2020-21'!C44:C55,MATCH('_Combined Balance Sheet'!B40,'BS 2020-21'!A44:A55,0)),0)</f>
        <v>761</v>
      </c>
    </row>
    <row r="41" spans="2:13" x14ac:dyDescent="0.3">
      <c r="B41" t="s">
        <v>65</v>
      </c>
      <c r="C41" s="7">
        <v>118</v>
      </c>
      <c r="D41">
        <f>IFERROR(INDEX('BS 2020-21'!C45:C56,MATCH('_Combined Balance Sheet'!B41,'BS 2020-21'!A45:A56,0)),0)</f>
        <v>118</v>
      </c>
    </row>
    <row r="42" spans="2:13" x14ac:dyDescent="0.3">
      <c r="B42" t="s">
        <v>71</v>
      </c>
      <c r="C42" s="7">
        <v>11</v>
      </c>
      <c r="D42">
        <f>IFERROR(INDEX('BS 2020-21'!C46:C57,MATCH('_Combined Balance Sheet'!B42,'BS 2020-21'!A46:A57,0)),0)</f>
        <v>11</v>
      </c>
    </row>
    <row r="43" spans="2:13" x14ac:dyDescent="0.3">
      <c r="B43" t="s">
        <v>72</v>
      </c>
      <c r="C43" s="7">
        <v>179</v>
      </c>
      <c r="D43">
        <f>IFERROR(INDEX('BS 2020-21'!C47:C58,MATCH('_Combined Balance Sheet'!B43,'BS 2020-21'!A47:A58,0)),0)</f>
        <v>179</v>
      </c>
    </row>
    <row r="44" spans="2:13" x14ac:dyDescent="0.3">
      <c r="B44" t="s">
        <v>73</v>
      </c>
      <c r="C44" s="7">
        <v>8730</v>
      </c>
      <c r="D44">
        <f>IFERROR(INDEX('BS 2020-21'!C48:C59,MATCH('_Combined Balance Sheet'!B44,'BS 2020-21'!A48:A59,0)),0)</f>
        <v>8730</v>
      </c>
    </row>
    <row r="45" spans="2:13" x14ac:dyDescent="0.3">
      <c r="B45" t="s">
        <v>74</v>
      </c>
      <c r="C45" s="7">
        <v>794</v>
      </c>
      <c r="D45">
        <f>IFERROR(INDEX('BS 2020-21'!C49:C60,MATCH('_Combined Balance Sheet'!B45,'BS 2020-21'!A49:A60,0)),0)</f>
        <v>794</v>
      </c>
    </row>
    <row r="46" spans="2:13" x14ac:dyDescent="0.3">
      <c r="B46" t="s">
        <v>66</v>
      </c>
      <c r="C46" s="7">
        <v>469</v>
      </c>
      <c r="D46">
        <f>IFERROR(INDEX('BS 2020-21'!C50:C61,MATCH('_Combined Balance Sheet'!B46,'BS 2020-21'!A50:A61,0)),0)</f>
        <v>469</v>
      </c>
    </row>
    <row r="47" spans="2:13" x14ac:dyDescent="0.3">
      <c r="B47" t="s">
        <v>75</v>
      </c>
      <c r="C47" s="7">
        <v>1099</v>
      </c>
      <c r="D47">
        <f>IFERROR(INDEX('BS 2020-21'!C51:C62,MATCH('_Combined Balance Sheet'!B47,'BS 2020-21'!A51:A62,0)),0)</f>
        <v>1099</v>
      </c>
    </row>
    <row r="48" spans="2:13" x14ac:dyDescent="0.3">
      <c r="B48" t="s">
        <v>67</v>
      </c>
      <c r="C48" s="7">
        <v>203</v>
      </c>
      <c r="D48">
        <f>IFERROR(INDEX('BS 2020-21'!C52:C63,MATCH('_Combined Balance Sheet'!B48,'BS 2020-21'!A52:A63,0)),0)</f>
        <v>203</v>
      </c>
    </row>
    <row r="49" spans="2:13" x14ac:dyDescent="0.3">
      <c r="B49" t="s">
        <v>76</v>
      </c>
      <c r="C49" s="7">
        <v>211</v>
      </c>
      <c r="D49">
        <f>IFERROR(INDEX('BS 2020-21'!C53:C64,MATCH('_Combined Balance Sheet'!B49,'BS 2020-21'!A53:A64,0)),0)</f>
        <v>211</v>
      </c>
    </row>
    <row r="50" spans="2:13" x14ac:dyDescent="0.3">
      <c r="B50" s="8" t="s">
        <v>77</v>
      </c>
      <c r="C50" s="9">
        <v>12575</v>
      </c>
      <c r="D50" s="9">
        <f>IFERROR(INDEX('BS 2020-21'!C54:C65,MATCH('_Combined Balance Sheet'!B50,'BS 2020-21'!A54:A65,0)),0)</f>
        <v>12575</v>
      </c>
      <c r="E50" s="9"/>
      <c r="F50" s="9"/>
      <c r="G50" s="9"/>
      <c r="H50" s="9"/>
      <c r="I50" s="9"/>
      <c r="J50" s="9"/>
      <c r="K50" s="9"/>
      <c r="L50" s="9"/>
      <c r="M50" s="9"/>
    </row>
    <row r="51" spans="2:13" ht="15" thickBot="1" x14ac:dyDescent="0.35">
      <c r="B51" s="10" t="s">
        <v>78</v>
      </c>
      <c r="C51" s="11">
        <v>98321</v>
      </c>
      <c r="D51" s="11">
        <f>IFERROR(INDEX('BS 2020-21'!C55:C66,MATCH('_Combined Balance Sheet'!B51,'BS 2020-21'!A55:A66,0)),0)</f>
        <v>98321</v>
      </c>
      <c r="E51" s="11"/>
      <c r="F51" s="11"/>
      <c r="G51" s="11"/>
      <c r="H51" s="11"/>
      <c r="I51" s="11"/>
      <c r="J51" s="11"/>
      <c r="K51" s="11"/>
      <c r="L51" s="11"/>
      <c r="M51" s="11"/>
    </row>
    <row r="52" spans="2:13" ht="15" thickTop="1" x14ac:dyDescent="0.3"/>
  </sheetData>
  <pageMargins left="0.7" right="0.7" top="0.75" bottom="0.75" header="0.3" footer="0.3"/>
  <ignoredErrors>
    <ignoredError sqref="D5:D13 D14:D26 D30 D32:D51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18"/>
  <sheetViews>
    <sheetView workbookViewId="0">
      <pane ySplit="3" topLeftCell="A303" activePane="bottomLeft" state="frozen"/>
      <selection pane="bottomLeft"/>
    </sheetView>
  </sheetViews>
  <sheetFormatPr defaultRowHeight="14.4" x14ac:dyDescent="0.3"/>
  <cols>
    <col min="1" max="1" width="58" customWidth="1"/>
    <col min="2" max="3" width="18" customWidth="1"/>
    <col min="4" max="4" width="4" customWidth="1"/>
  </cols>
  <sheetData>
    <row r="1" spans="1:3" ht="17.399999999999999" x14ac:dyDescent="0.35">
      <c r="A1" s="1" t="s">
        <v>30</v>
      </c>
    </row>
    <row r="2" spans="1:3" x14ac:dyDescent="0.3">
      <c r="A2" s="2" t="s">
        <v>156</v>
      </c>
    </row>
    <row r="3" spans="1:3" x14ac:dyDescent="0.3">
      <c r="A3" s="3" t="s">
        <v>383</v>
      </c>
    </row>
    <row r="4" spans="1:3" x14ac:dyDescent="0.3">
      <c r="A4" s="4" t="s">
        <v>33</v>
      </c>
    </row>
    <row r="6" spans="1:3" x14ac:dyDescent="0.3">
      <c r="A6" s="2" t="s">
        <v>384</v>
      </c>
    </row>
    <row r="7" spans="1:3" x14ac:dyDescent="0.3">
      <c r="A7" s="2"/>
      <c r="B7" s="5" t="s">
        <v>376</v>
      </c>
      <c r="C7" s="5" t="s">
        <v>377</v>
      </c>
    </row>
    <row r="8" spans="1:3" x14ac:dyDescent="0.3">
      <c r="A8" t="s">
        <v>159</v>
      </c>
      <c r="B8" s="7">
        <v>491</v>
      </c>
      <c r="C8" s="7">
        <v>208</v>
      </c>
    </row>
    <row r="9" spans="1:3" x14ac:dyDescent="0.3">
      <c r="A9" t="s">
        <v>160</v>
      </c>
      <c r="B9" s="7">
        <v>3708</v>
      </c>
      <c r="C9" s="7">
        <v>2137</v>
      </c>
    </row>
    <row r="10" spans="1:3" x14ac:dyDescent="0.3">
      <c r="A10" t="s">
        <v>161</v>
      </c>
      <c r="B10" s="7">
        <v>4525</v>
      </c>
      <c r="C10" s="7">
        <v>4366</v>
      </c>
    </row>
    <row r="11" spans="1:3" x14ac:dyDescent="0.3">
      <c r="A11" t="s">
        <v>162</v>
      </c>
      <c r="B11" s="7">
        <v>70</v>
      </c>
      <c r="C11" s="7">
        <v>44</v>
      </c>
    </row>
    <row r="12" spans="1:3" x14ac:dyDescent="0.3">
      <c r="A12" t="s">
        <v>163</v>
      </c>
      <c r="B12" s="7">
        <v>100</v>
      </c>
      <c r="C12" s="7">
        <v>102</v>
      </c>
    </row>
    <row r="13" spans="1:3" x14ac:dyDescent="0.3">
      <c r="A13" t="s">
        <v>164</v>
      </c>
      <c r="B13" s="7">
        <v>3</v>
      </c>
      <c r="C13" s="7">
        <v>1</v>
      </c>
    </row>
    <row r="14" spans="1:3" x14ac:dyDescent="0.3">
      <c r="A14" s="8" t="s">
        <v>165</v>
      </c>
      <c r="B14" s="9">
        <v>8897</v>
      </c>
      <c r="C14" s="9">
        <v>6858</v>
      </c>
    </row>
    <row r="16" spans="1:3" x14ac:dyDescent="0.3">
      <c r="A16" s="2" t="s">
        <v>385</v>
      </c>
    </row>
    <row r="17" spans="1:3" x14ac:dyDescent="0.3">
      <c r="A17" s="2"/>
      <c r="B17" s="5" t="s">
        <v>376</v>
      </c>
      <c r="C17" s="5" t="s">
        <v>377</v>
      </c>
    </row>
    <row r="18" spans="1:3" x14ac:dyDescent="0.3">
      <c r="A18" t="s">
        <v>386</v>
      </c>
      <c r="B18" s="7">
        <v>756</v>
      </c>
      <c r="C18" s="7">
        <v>1769</v>
      </c>
    </row>
    <row r="19" spans="1:3" x14ac:dyDescent="0.3">
      <c r="A19" t="s">
        <v>387</v>
      </c>
      <c r="B19" s="7">
        <v>419</v>
      </c>
      <c r="C19" s="7">
        <v>281</v>
      </c>
    </row>
    <row r="20" spans="1:3" x14ac:dyDescent="0.3">
      <c r="A20" t="s">
        <v>388</v>
      </c>
      <c r="B20" s="7">
        <v>22</v>
      </c>
      <c r="C20" s="7">
        <v>103</v>
      </c>
    </row>
    <row r="21" spans="1:3" x14ac:dyDescent="0.3">
      <c r="A21" t="s">
        <v>389</v>
      </c>
      <c r="B21" s="7">
        <v>3</v>
      </c>
      <c r="C21" s="7">
        <v>117</v>
      </c>
    </row>
    <row r="22" spans="1:3" x14ac:dyDescent="0.3">
      <c r="A22" s="8" t="s">
        <v>390</v>
      </c>
      <c r="B22" s="9">
        <v>1200</v>
      </c>
      <c r="C22" s="9">
        <v>2270</v>
      </c>
    </row>
    <row r="24" spans="1:3" x14ac:dyDescent="0.3">
      <c r="A24" s="2" t="s">
        <v>391</v>
      </c>
    </row>
    <row r="25" spans="1:3" x14ac:dyDescent="0.3">
      <c r="A25" s="2"/>
      <c r="B25" s="5" t="s">
        <v>376</v>
      </c>
      <c r="C25" s="5" t="s">
        <v>377</v>
      </c>
    </row>
    <row r="26" spans="1:3" x14ac:dyDescent="0.3">
      <c r="A26" t="s">
        <v>159</v>
      </c>
      <c r="B26" s="7">
        <v>675</v>
      </c>
      <c r="C26" s="7">
        <v>683</v>
      </c>
    </row>
    <row r="27" spans="1:3" x14ac:dyDescent="0.3">
      <c r="A27" t="s">
        <v>160</v>
      </c>
      <c r="B27" s="7">
        <v>123</v>
      </c>
      <c r="C27" s="7">
        <v>152</v>
      </c>
    </row>
    <row r="28" spans="1:3" x14ac:dyDescent="0.3">
      <c r="A28" t="s">
        <v>162</v>
      </c>
      <c r="B28" s="7">
        <v>7</v>
      </c>
      <c r="C28" s="7">
        <v>13</v>
      </c>
    </row>
    <row r="29" spans="1:3" x14ac:dyDescent="0.3">
      <c r="A29" t="s">
        <v>164</v>
      </c>
      <c r="B29" s="7">
        <v>4</v>
      </c>
      <c r="C29" s="7">
        <v>6</v>
      </c>
    </row>
    <row r="30" spans="1:3" x14ac:dyDescent="0.3">
      <c r="A30" s="8" t="s">
        <v>165</v>
      </c>
      <c r="B30" s="9">
        <v>807</v>
      </c>
      <c r="C30" s="9">
        <v>853</v>
      </c>
    </row>
    <row r="32" spans="1:3" x14ac:dyDescent="0.3">
      <c r="A32" s="2" t="s">
        <v>392</v>
      </c>
    </row>
    <row r="33" spans="1:3" x14ac:dyDescent="0.3">
      <c r="A33" s="2"/>
      <c r="B33" s="5" t="s">
        <v>376</v>
      </c>
      <c r="C33" s="5" t="s">
        <v>377</v>
      </c>
    </row>
    <row r="34" spans="1:3" x14ac:dyDescent="0.3">
      <c r="A34" t="s">
        <v>169</v>
      </c>
      <c r="B34" s="7">
        <v>497</v>
      </c>
      <c r="C34" s="7">
        <v>497</v>
      </c>
    </row>
    <row r="35" spans="1:3" x14ac:dyDescent="0.3">
      <c r="A35" t="s">
        <v>393</v>
      </c>
      <c r="B35" s="7">
        <v>-135</v>
      </c>
      <c r="C35" s="7">
        <v>0</v>
      </c>
    </row>
    <row r="36" spans="1:3" x14ac:dyDescent="0.3">
      <c r="A36" s="8" t="s">
        <v>171</v>
      </c>
      <c r="B36" s="9">
        <v>362</v>
      </c>
      <c r="C36" s="9">
        <v>497</v>
      </c>
    </row>
    <row r="37" spans="1:3" x14ac:dyDescent="0.3">
      <c r="A37" s="4" t="s">
        <v>394</v>
      </c>
    </row>
    <row r="39" spans="1:3" x14ac:dyDescent="0.3">
      <c r="A39" s="2" t="s">
        <v>395</v>
      </c>
    </row>
    <row r="40" spans="1:3" x14ac:dyDescent="0.3">
      <c r="A40" s="2"/>
      <c r="B40" s="5" t="s">
        <v>376</v>
      </c>
      <c r="C40" s="5" t="s">
        <v>377</v>
      </c>
    </row>
    <row r="41" spans="1:3" x14ac:dyDescent="0.3">
      <c r="A41" t="s">
        <v>396</v>
      </c>
      <c r="B41" s="7">
        <v>28071</v>
      </c>
      <c r="C41" s="7">
        <v>26369</v>
      </c>
    </row>
    <row r="42" spans="1:3" x14ac:dyDescent="0.3">
      <c r="A42" t="s">
        <v>397</v>
      </c>
      <c r="B42" s="7">
        <v>1658</v>
      </c>
      <c r="C42" s="7">
        <v>1658</v>
      </c>
    </row>
    <row r="43" spans="1:3" x14ac:dyDescent="0.3">
      <c r="A43" t="s">
        <v>398</v>
      </c>
      <c r="B43" s="7">
        <v>741</v>
      </c>
      <c r="C43" s="7">
        <v>686</v>
      </c>
    </row>
    <row r="44" spans="1:3" x14ac:dyDescent="0.3">
      <c r="A44" t="s">
        <v>399</v>
      </c>
      <c r="B44" s="7">
        <v>515</v>
      </c>
      <c r="C44" s="7">
        <v>315</v>
      </c>
    </row>
    <row r="45" spans="1:3" x14ac:dyDescent="0.3">
      <c r="A45" t="s">
        <v>400</v>
      </c>
      <c r="B45" s="7">
        <v>34618</v>
      </c>
      <c r="C45" s="7">
        <v>31448</v>
      </c>
    </row>
    <row r="46" spans="1:3" x14ac:dyDescent="0.3">
      <c r="A46" t="s">
        <v>401</v>
      </c>
      <c r="B46" s="7">
        <v>2185</v>
      </c>
      <c r="C46" s="7">
        <v>1558</v>
      </c>
    </row>
    <row r="47" spans="1:3" x14ac:dyDescent="0.3">
      <c r="A47" t="s">
        <v>402</v>
      </c>
      <c r="B47" s="7">
        <v>525</v>
      </c>
      <c r="C47" s="7">
        <v>150</v>
      </c>
    </row>
    <row r="48" spans="1:3" x14ac:dyDescent="0.3">
      <c r="A48" t="s">
        <v>403</v>
      </c>
      <c r="B48" s="7">
        <v>18169</v>
      </c>
      <c r="C48" s="7">
        <v>16396</v>
      </c>
    </row>
    <row r="49" spans="1:3" x14ac:dyDescent="0.3">
      <c r="A49" t="s">
        <v>404</v>
      </c>
      <c r="B49" s="7">
        <v>950</v>
      </c>
      <c r="C49" s="7">
        <v>1450</v>
      </c>
    </row>
    <row r="50" spans="1:3" x14ac:dyDescent="0.3">
      <c r="A50" s="8" t="s">
        <v>184</v>
      </c>
      <c r="B50" s="9">
        <v>87432</v>
      </c>
      <c r="C50" s="9">
        <v>80031</v>
      </c>
    </row>
    <row r="51" spans="1:3" x14ac:dyDescent="0.3">
      <c r="A51" t="s">
        <v>185</v>
      </c>
      <c r="B51" s="7">
        <v>54972</v>
      </c>
      <c r="C51" s="7">
        <v>49403</v>
      </c>
    </row>
    <row r="52" spans="1:3" x14ac:dyDescent="0.3">
      <c r="A52" t="s">
        <v>186</v>
      </c>
      <c r="B52" s="7">
        <v>32460</v>
      </c>
      <c r="C52" s="7">
        <v>30628</v>
      </c>
    </row>
    <row r="53" spans="1:3" x14ac:dyDescent="0.3">
      <c r="A53" t="s">
        <v>187</v>
      </c>
      <c r="B53" s="7">
        <v>34618</v>
      </c>
      <c r="C53" s="7">
        <v>31448</v>
      </c>
    </row>
    <row r="54" spans="1:3" x14ac:dyDescent="0.3">
      <c r="A54" t="s">
        <v>188</v>
      </c>
      <c r="B54" s="7">
        <v>52814</v>
      </c>
      <c r="C54" s="7">
        <v>48583</v>
      </c>
    </row>
    <row r="55" spans="1:3" x14ac:dyDescent="0.3">
      <c r="A55" t="s">
        <v>189</v>
      </c>
      <c r="B55" s="7">
        <v>0</v>
      </c>
      <c r="C55" s="7">
        <v>0</v>
      </c>
    </row>
    <row r="57" spans="1:3" x14ac:dyDescent="0.3">
      <c r="A57" s="2" t="s">
        <v>405</v>
      </c>
    </row>
    <row r="58" spans="1:3" x14ac:dyDescent="0.3">
      <c r="A58" s="2"/>
      <c r="B58" s="5" t="s">
        <v>376</v>
      </c>
      <c r="C58" s="5" t="s">
        <v>377</v>
      </c>
    </row>
    <row r="59" spans="1:3" x14ac:dyDescent="0.3">
      <c r="A59" t="s">
        <v>192</v>
      </c>
      <c r="B59" s="7">
        <v>17133</v>
      </c>
      <c r="C59" s="7">
        <v>15247</v>
      </c>
    </row>
    <row r="60" spans="1:3" x14ac:dyDescent="0.3">
      <c r="A60" t="s">
        <v>406</v>
      </c>
      <c r="B60" s="7">
        <v>251</v>
      </c>
      <c r="C60" s="7">
        <v>0</v>
      </c>
    </row>
    <row r="61" spans="1:3" x14ac:dyDescent="0.3">
      <c r="A61" t="s">
        <v>195</v>
      </c>
      <c r="B61" s="7">
        <v>0</v>
      </c>
      <c r="C61" s="7">
        <v>3518</v>
      </c>
    </row>
    <row r="63" spans="1:3" x14ac:dyDescent="0.3">
      <c r="A63" s="2" t="s">
        <v>407</v>
      </c>
    </row>
    <row r="64" spans="1:3" x14ac:dyDescent="0.3">
      <c r="A64" s="2"/>
      <c r="B64" s="5" t="s">
        <v>376</v>
      </c>
      <c r="C64" s="5" t="s">
        <v>377</v>
      </c>
    </row>
    <row r="65" spans="1:3" x14ac:dyDescent="0.3">
      <c r="A65" t="s">
        <v>191</v>
      </c>
      <c r="B65" s="7">
        <v>18</v>
      </c>
      <c r="C65" s="7">
        <v>2</v>
      </c>
    </row>
    <row r="66" spans="1:3" x14ac:dyDescent="0.3">
      <c r="A66" t="s">
        <v>207</v>
      </c>
      <c r="B66" s="7">
        <v>40</v>
      </c>
      <c r="C66" s="7">
        <v>24</v>
      </c>
    </row>
    <row r="67" spans="1:3" x14ac:dyDescent="0.3">
      <c r="A67" s="8" t="s">
        <v>193</v>
      </c>
      <c r="B67" s="9">
        <v>58</v>
      </c>
      <c r="C67" s="9">
        <v>26</v>
      </c>
    </row>
    <row r="68" spans="1:3" x14ac:dyDescent="0.3">
      <c r="A68" t="s">
        <v>194</v>
      </c>
      <c r="B68" s="7">
        <v>100</v>
      </c>
      <c r="C68" s="7">
        <v>100</v>
      </c>
    </row>
    <row r="69" spans="1:3" x14ac:dyDescent="0.3">
      <c r="A69" t="s">
        <v>201</v>
      </c>
      <c r="B69" s="7">
        <v>530</v>
      </c>
      <c r="C69" s="7">
        <v>452</v>
      </c>
    </row>
    <row r="70" spans="1:3" x14ac:dyDescent="0.3">
      <c r="A70" t="s">
        <v>202</v>
      </c>
      <c r="B70" s="7">
        <v>7</v>
      </c>
      <c r="C70" s="7">
        <v>3</v>
      </c>
    </row>
    <row r="71" spans="1:3" x14ac:dyDescent="0.3">
      <c r="A71" t="s">
        <v>196</v>
      </c>
      <c r="B71" s="7">
        <v>988</v>
      </c>
      <c r="C71" s="7">
        <v>338</v>
      </c>
    </row>
    <row r="72" spans="1:3" x14ac:dyDescent="0.3">
      <c r="A72" t="s">
        <v>408</v>
      </c>
      <c r="B72" s="7">
        <v>13</v>
      </c>
      <c r="C72" s="7">
        <v>4</v>
      </c>
    </row>
    <row r="73" spans="1:3" x14ac:dyDescent="0.3">
      <c r="A73" s="8" t="s">
        <v>197</v>
      </c>
      <c r="B73" s="9">
        <v>1638</v>
      </c>
      <c r="C73" s="9">
        <v>897</v>
      </c>
    </row>
    <row r="75" spans="1:3" x14ac:dyDescent="0.3">
      <c r="A75" s="2" t="s">
        <v>409</v>
      </c>
    </row>
    <row r="76" spans="1:3" x14ac:dyDescent="0.3">
      <c r="A76" s="2"/>
      <c r="B76" s="5" t="s">
        <v>376</v>
      </c>
      <c r="C76" s="5" t="s">
        <v>377</v>
      </c>
    </row>
    <row r="77" spans="1:3" x14ac:dyDescent="0.3">
      <c r="A77" t="s">
        <v>205</v>
      </c>
      <c r="B77" s="7">
        <v>128</v>
      </c>
      <c r="C77" s="7">
        <v>381</v>
      </c>
    </row>
    <row r="78" spans="1:3" x14ac:dyDescent="0.3">
      <c r="A78" t="s">
        <v>206</v>
      </c>
      <c r="B78" s="7">
        <v>7</v>
      </c>
      <c r="C78" s="7">
        <v>7</v>
      </c>
    </row>
    <row r="79" spans="1:3" x14ac:dyDescent="0.3">
      <c r="A79" s="8" t="s">
        <v>193</v>
      </c>
      <c r="B79" s="9">
        <v>135</v>
      </c>
      <c r="C79" s="9">
        <v>388</v>
      </c>
    </row>
    <row r="80" spans="1:3" x14ac:dyDescent="0.3">
      <c r="A80" t="s">
        <v>208</v>
      </c>
      <c r="B80" s="7">
        <v>522</v>
      </c>
      <c r="C80" s="7">
        <v>427</v>
      </c>
    </row>
    <row r="81" spans="1:3" x14ac:dyDescent="0.3">
      <c r="A81" t="s">
        <v>209</v>
      </c>
      <c r="B81" s="7">
        <v>1095</v>
      </c>
      <c r="C81" s="7">
        <v>1014</v>
      </c>
    </row>
    <row r="82" spans="1:3" x14ac:dyDescent="0.3">
      <c r="A82" t="s">
        <v>210</v>
      </c>
      <c r="B82" s="7">
        <v>233</v>
      </c>
      <c r="C82" s="7">
        <v>131</v>
      </c>
    </row>
    <row r="83" spans="1:3" x14ac:dyDescent="0.3">
      <c r="A83" t="s">
        <v>200</v>
      </c>
      <c r="B83" s="7">
        <v>119</v>
      </c>
      <c r="C83" s="7">
        <v>278</v>
      </c>
    </row>
    <row r="84" spans="1:3" x14ac:dyDescent="0.3">
      <c r="A84" t="s">
        <v>211</v>
      </c>
      <c r="B84" s="7">
        <v>945</v>
      </c>
      <c r="C84" s="7">
        <v>1363</v>
      </c>
    </row>
    <row r="85" spans="1:3" x14ac:dyDescent="0.3">
      <c r="A85" s="8" t="s">
        <v>212</v>
      </c>
      <c r="B85" s="9">
        <v>2914</v>
      </c>
      <c r="C85" s="9">
        <v>3213</v>
      </c>
    </row>
    <row r="87" spans="1:3" x14ac:dyDescent="0.3">
      <c r="A87" s="2" t="s">
        <v>410</v>
      </c>
    </row>
    <row r="88" spans="1:3" x14ac:dyDescent="0.3">
      <c r="A88" s="2"/>
      <c r="B88" s="5" t="s">
        <v>376</v>
      </c>
      <c r="C88" s="5" t="s">
        <v>377</v>
      </c>
    </row>
    <row r="89" spans="1:3" x14ac:dyDescent="0.3">
      <c r="A89" t="s">
        <v>214</v>
      </c>
      <c r="B89" s="7">
        <v>3051</v>
      </c>
      <c r="C89" s="7">
        <v>2101</v>
      </c>
    </row>
    <row r="90" spans="1:3" x14ac:dyDescent="0.3">
      <c r="A90" t="s">
        <v>215</v>
      </c>
      <c r="B90" s="7">
        <v>2189</v>
      </c>
      <c r="C90" s="7">
        <v>1804</v>
      </c>
    </row>
    <row r="91" spans="1:3" x14ac:dyDescent="0.3">
      <c r="A91" t="s">
        <v>216</v>
      </c>
      <c r="B91" s="7">
        <v>1256</v>
      </c>
      <c r="C91" s="7">
        <v>389</v>
      </c>
    </row>
    <row r="92" spans="1:3" x14ac:dyDescent="0.3">
      <c r="A92" t="s">
        <v>217</v>
      </c>
      <c r="B92" s="7">
        <v>1791</v>
      </c>
      <c r="C92" s="7">
        <v>1281</v>
      </c>
    </row>
    <row r="93" spans="1:3" x14ac:dyDescent="0.3">
      <c r="A93" t="s">
        <v>218</v>
      </c>
      <c r="B93" s="7">
        <v>329</v>
      </c>
      <c r="C93" s="7">
        <v>321</v>
      </c>
    </row>
    <row r="94" spans="1:3" x14ac:dyDescent="0.3">
      <c r="A94" s="8" t="s">
        <v>219</v>
      </c>
      <c r="B94" s="9">
        <v>8616</v>
      </c>
      <c r="C94" s="9">
        <v>5896</v>
      </c>
    </row>
    <row r="96" spans="1:3" x14ac:dyDescent="0.3">
      <c r="A96" s="2" t="s">
        <v>411</v>
      </c>
    </row>
    <row r="97" spans="1:3" x14ac:dyDescent="0.3">
      <c r="A97" s="2"/>
      <c r="B97" s="5" t="s">
        <v>376</v>
      </c>
      <c r="C97" s="5" t="s">
        <v>377</v>
      </c>
    </row>
    <row r="98" spans="1:3" x14ac:dyDescent="0.3">
      <c r="A98" t="s">
        <v>412</v>
      </c>
      <c r="B98" s="7">
        <v>272</v>
      </c>
      <c r="C98" s="7">
        <v>250</v>
      </c>
    </row>
    <row r="99" spans="1:3" x14ac:dyDescent="0.3">
      <c r="A99" t="s">
        <v>413</v>
      </c>
      <c r="B99" s="7">
        <v>6186</v>
      </c>
      <c r="C99" s="7">
        <v>7373</v>
      </c>
    </row>
    <row r="100" spans="1:3" x14ac:dyDescent="0.3">
      <c r="A100" t="s">
        <v>414</v>
      </c>
      <c r="B100" s="7">
        <v>164</v>
      </c>
      <c r="C100" s="7">
        <v>180</v>
      </c>
    </row>
    <row r="101" spans="1:3" x14ac:dyDescent="0.3">
      <c r="A101" t="s">
        <v>415</v>
      </c>
      <c r="B101" s="7">
        <v>-333</v>
      </c>
      <c r="C101" s="7">
        <v>-352</v>
      </c>
    </row>
    <row r="102" spans="1:3" x14ac:dyDescent="0.3">
      <c r="A102" s="8" t="s">
        <v>416</v>
      </c>
      <c r="B102" s="9">
        <v>6017</v>
      </c>
      <c r="C102" s="9">
        <v>7201</v>
      </c>
    </row>
    <row r="103" spans="1:3" x14ac:dyDescent="0.3">
      <c r="A103" t="s">
        <v>225</v>
      </c>
      <c r="B103" s="7">
        <v>352</v>
      </c>
      <c r="C103" s="7">
        <v>357</v>
      </c>
    </row>
    <row r="104" spans="1:3" x14ac:dyDescent="0.3">
      <c r="A104" t="s">
        <v>226</v>
      </c>
      <c r="B104" s="7">
        <v>20</v>
      </c>
      <c r="C104" s="7">
        <v>35</v>
      </c>
    </row>
    <row r="105" spans="1:3" x14ac:dyDescent="0.3">
      <c r="A105" t="s">
        <v>227</v>
      </c>
      <c r="B105" s="7">
        <v>-39</v>
      </c>
      <c r="C105" s="7">
        <v>-40</v>
      </c>
    </row>
    <row r="106" spans="1:3" x14ac:dyDescent="0.3">
      <c r="A106" s="8" t="s">
        <v>228</v>
      </c>
      <c r="B106" s="9">
        <v>333</v>
      </c>
      <c r="C106" s="9">
        <v>352</v>
      </c>
    </row>
    <row r="108" spans="1:3" x14ac:dyDescent="0.3">
      <c r="A108" s="2" t="s">
        <v>417</v>
      </c>
    </row>
    <row r="109" spans="1:3" x14ac:dyDescent="0.3">
      <c r="A109" s="2"/>
      <c r="B109" s="5" t="s">
        <v>376</v>
      </c>
      <c r="C109" s="5" t="s">
        <v>377</v>
      </c>
    </row>
    <row r="110" spans="1:3" x14ac:dyDescent="0.3">
      <c r="A110" t="s">
        <v>230</v>
      </c>
      <c r="B110" s="7">
        <v>9</v>
      </c>
      <c r="C110" s="7">
        <v>16</v>
      </c>
    </row>
    <row r="111" spans="1:3" x14ac:dyDescent="0.3">
      <c r="A111" t="s">
        <v>231</v>
      </c>
      <c r="B111" s="7">
        <v>295</v>
      </c>
      <c r="C111" s="7">
        <v>79</v>
      </c>
    </row>
    <row r="112" spans="1:3" x14ac:dyDescent="0.3">
      <c r="A112" s="8" t="s">
        <v>165</v>
      </c>
      <c r="B112" s="9">
        <v>304</v>
      </c>
      <c r="C112" s="9">
        <v>95</v>
      </c>
    </row>
    <row r="114" spans="1:3" x14ac:dyDescent="0.3">
      <c r="A114" s="2" t="s">
        <v>418</v>
      </c>
    </row>
    <row r="115" spans="1:3" x14ac:dyDescent="0.3">
      <c r="A115" s="2"/>
      <c r="B115" s="5" t="s">
        <v>376</v>
      </c>
      <c r="C115" s="5" t="s">
        <v>377</v>
      </c>
    </row>
    <row r="116" spans="1:3" x14ac:dyDescent="0.3">
      <c r="A116" t="s">
        <v>234</v>
      </c>
      <c r="B116" s="7">
        <v>1390</v>
      </c>
      <c r="C116" s="7">
        <v>798</v>
      </c>
    </row>
    <row r="117" spans="1:3" x14ac:dyDescent="0.3">
      <c r="A117" t="s">
        <v>235</v>
      </c>
      <c r="B117" s="7">
        <v>120</v>
      </c>
      <c r="C117" s="7">
        <v>80</v>
      </c>
    </row>
    <row r="118" spans="1:3" x14ac:dyDescent="0.3">
      <c r="A118" t="s">
        <v>153</v>
      </c>
      <c r="B118" s="7">
        <v>1214</v>
      </c>
      <c r="C118" s="7">
        <v>768</v>
      </c>
    </row>
    <row r="119" spans="1:3" x14ac:dyDescent="0.3">
      <c r="A119" t="s">
        <v>154</v>
      </c>
      <c r="B119" s="7">
        <v>18</v>
      </c>
      <c r="C119" s="7">
        <v>8</v>
      </c>
    </row>
    <row r="120" spans="1:3" x14ac:dyDescent="0.3">
      <c r="A120" s="8" t="s">
        <v>165</v>
      </c>
      <c r="B120" s="9">
        <v>2742</v>
      </c>
      <c r="C120" s="9">
        <v>1654</v>
      </c>
    </row>
    <row r="122" spans="1:3" x14ac:dyDescent="0.3">
      <c r="A122" s="2" t="s">
        <v>419</v>
      </c>
    </row>
    <row r="123" spans="1:3" x14ac:dyDescent="0.3">
      <c r="A123" s="2"/>
      <c r="B123" s="5" t="s">
        <v>420</v>
      </c>
      <c r="C123" s="5" t="s">
        <v>237</v>
      </c>
    </row>
    <row r="124" spans="1:3" x14ac:dyDescent="0.3">
      <c r="A124" t="s">
        <v>421</v>
      </c>
      <c r="B124" s="7">
        <v>5100</v>
      </c>
      <c r="C124" s="7">
        <v>4950</v>
      </c>
    </row>
    <row r="125" spans="1:3" x14ac:dyDescent="0.3">
      <c r="A125" t="s">
        <v>240</v>
      </c>
      <c r="B125" s="7">
        <v>50</v>
      </c>
      <c r="C125" s="7">
        <v>50</v>
      </c>
    </row>
    <row r="126" spans="1:3" x14ac:dyDescent="0.3">
      <c r="A126" s="8" t="s">
        <v>241</v>
      </c>
      <c r="B126" s="9">
        <v>5150</v>
      </c>
      <c r="C126" s="9">
        <v>5000</v>
      </c>
    </row>
    <row r="127" spans="1:3" x14ac:dyDescent="0.3">
      <c r="A127" t="s">
        <v>242</v>
      </c>
      <c r="B127" s="7">
        <v>4837</v>
      </c>
      <c r="C127" s="7">
        <v>4837</v>
      </c>
    </row>
    <row r="128" spans="1:3" x14ac:dyDescent="0.3">
      <c r="A128" s="4" t="s">
        <v>422</v>
      </c>
    </row>
    <row r="130" spans="1:3" x14ac:dyDescent="0.3">
      <c r="A130" s="2" t="s">
        <v>423</v>
      </c>
    </row>
    <row r="131" spans="1:3" x14ac:dyDescent="0.3">
      <c r="A131" s="2"/>
      <c r="B131" s="5" t="s">
        <v>376</v>
      </c>
      <c r="C131" s="5" t="s">
        <v>377</v>
      </c>
    </row>
    <row r="132" spans="1:3" x14ac:dyDescent="0.3">
      <c r="A132" t="s">
        <v>245</v>
      </c>
      <c r="B132" s="7">
        <v>0</v>
      </c>
      <c r="C132" s="7">
        <v>408</v>
      </c>
    </row>
    <row r="133" spans="1:3" x14ac:dyDescent="0.3">
      <c r="A133" t="s">
        <v>424</v>
      </c>
      <c r="B133" s="7">
        <v>16967</v>
      </c>
      <c r="C133" s="7">
        <v>16967</v>
      </c>
    </row>
    <row r="134" spans="1:3" x14ac:dyDescent="0.3">
      <c r="A134" t="s">
        <v>425</v>
      </c>
      <c r="B134" s="7">
        <v>2000</v>
      </c>
      <c r="C134" s="7">
        <v>0</v>
      </c>
    </row>
    <row r="135" spans="1:3" x14ac:dyDescent="0.3">
      <c r="A135" s="8" t="s">
        <v>193</v>
      </c>
      <c r="B135" s="9">
        <v>18967</v>
      </c>
      <c r="C135" s="9">
        <v>17375</v>
      </c>
    </row>
    <row r="136" spans="1:3" x14ac:dyDescent="0.3">
      <c r="A136" t="s">
        <v>426</v>
      </c>
      <c r="B136" s="7">
        <v>420</v>
      </c>
      <c r="C136" s="7">
        <v>816</v>
      </c>
    </row>
    <row r="137" spans="1:3" x14ac:dyDescent="0.3">
      <c r="A137" t="s">
        <v>248</v>
      </c>
      <c r="B137" s="7">
        <v>2028</v>
      </c>
      <c r="C137" s="7">
        <v>0</v>
      </c>
    </row>
    <row r="138" spans="1:3" x14ac:dyDescent="0.3">
      <c r="A138" t="s">
        <v>249</v>
      </c>
      <c r="B138" s="7">
        <v>414</v>
      </c>
      <c r="C138" s="7">
        <v>1414</v>
      </c>
    </row>
    <row r="139" spans="1:3" x14ac:dyDescent="0.3">
      <c r="A139" s="8" t="s">
        <v>250</v>
      </c>
      <c r="B139" s="9">
        <v>2862</v>
      </c>
      <c r="C139" s="9">
        <v>2230</v>
      </c>
    </row>
    <row r="141" spans="1:3" x14ac:dyDescent="0.3">
      <c r="A141" s="2" t="s">
        <v>427</v>
      </c>
    </row>
    <row r="142" spans="1:3" x14ac:dyDescent="0.3">
      <c r="A142" s="2"/>
      <c r="B142" s="5" t="s">
        <v>376</v>
      </c>
      <c r="C142" s="5" t="s">
        <v>377</v>
      </c>
    </row>
    <row r="143" spans="1:3" x14ac:dyDescent="0.3">
      <c r="A143" t="s">
        <v>252</v>
      </c>
      <c r="B143" s="7">
        <v>138</v>
      </c>
      <c r="C143" s="7">
        <v>105</v>
      </c>
    </row>
    <row r="144" spans="1:3" x14ac:dyDescent="0.3">
      <c r="A144" t="s">
        <v>253</v>
      </c>
      <c r="B144" s="7">
        <v>2</v>
      </c>
      <c r="C144" s="7">
        <v>2</v>
      </c>
    </row>
    <row r="145" spans="1:3" x14ac:dyDescent="0.3">
      <c r="A145" t="s">
        <v>254</v>
      </c>
      <c r="B145" s="7">
        <v>95</v>
      </c>
      <c r="C145" s="7">
        <v>92</v>
      </c>
    </row>
    <row r="146" spans="1:3" x14ac:dyDescent="0.3">
      <c r="A146" s="8" t="s">
        <v>197</v>
      </c>
      <c r="B146" s="9">
        <v>97</v>
      </c>
      <c r="C146" s="9">
        <v>94</v>
      </c>
    </row>
    <row r="148" spans="1:3" x14ac:dyDescent="0.3">
      <c r="A148" s="2" t="s">
        <v>428</v>
      </c>
    </row>
    <row r="149" spans="1:3" x14ac:dyDescent="0.3">
      <c r="A149" s="2"/>
      <c r="B149" s="5" t="s">
        <v>376</v>
      </c>
      <c r="C149" s="5" t="s">
        <v>377</v>
      </c>
    </row>
    <row r="150" spans="1:3" x14ac:dyDescent="0.3">
      <c r="A150" t="s">
        <v>256</v>
      </c>
      <c r="B150" s="7">
        <v>1103</v>
      </c>
      <c r="C150" s="7">
        <v>1023</v>
      </c>
    </row>
    <row r="151" spans="1:3" x14ac:dyDescent="0.3">
      <c r="A151" t="s">
        <v>257</v>
      </c>
      <c r="B151" s="7">
        <v>0</v>
      </c>
      <c r="C151" s="7">
        <v>37</v>
      </c>
    </row>
    <row r="152" spans="1:3" x14ac:dyDescent="0.3">
      <c r="A152" t="s">
        <v>258</v>
      </c>
      <c r="B152" s="7">
        <v>269</v>
      </c>
      <c r="C152" s="7">
        <v>330</v>
      </c>
    </row>
    <row r="153" spans="1:3" x14ac:dyDescent="0.3">
      <c r="A153" t="s">
        <v>259</v>
      </c>
      <c r="B153" s="7">
        <v>630</v>
      </c>
      <c r="C153" s="7">
        <v>618</v>
      </c>
    </row>
    <row r="154" spans="1:3" x14ac:dyDescent="0.3">
      <c r="A154" t="s">
        <v>260</v>
      </c>
      <c r="B154" s="7">
        <v>571</v>
      </c>
      <c r="C154" s="7">
        <v>257</v>
      </c>
    </row>
    <row r="155" spans="1:3" x14ac:dyDescent="0.3">
      <c r="A155" s="8" t="s">
        <v>197</v>
      </c>
      <c r="B155" s="9">
        <v>1470</v>
      </c>
      <c r="C155" s="9">
        <v>1242</v>
      </c>
    </row>
    <row r="157" spans="1:3" x14ac:dyDescent="0.3">
      <c r="A157" s="2" t="s">
        <v>429</v>
      </c>
    </row>
    <row r="158" spans="1:3" x14ac:dyDescent="0.3">
      <c r="A158" s="2"/>
      <c r="B158" s="5" t="s">
        <v>376</v>
      </c>
      <c r="C158" s="5" t="s">
        <v>377</v>
      </c>
    </row>
    <row r="159" spans="1:3" x14ac:dyDescent="0.3">
      <c r="A159" t="s">
        <v>262</v>
      </c>
      <c r="B159" s="7">
        <v>546</v>
      </c>
      <c r="C159" s="7">
        <v>353</v>
      </c>
    </row>
    <row r="160" spans="1:3" x14ac:dyDescent="0.3">
      <c r="A160" t="s">
        <v>263</v>
      </c>
      <c r="B160" s="7">
        <v>250</v>
      </c>
      <c r="C160" s="7">
        <v>251</v>
      </c>
    </row>
    <row r="161" spans="1:3" x14ac:dyDescent="0.3">
      <c r="A161" t="s">
        <v>264</v>
      </c>
      <c r="B161" s="7">
        <v>608</v>
      </c>
      <c r="C161" s="7">
        <v>590</v>
      </c>
    </row>
    <row r="162" spans="1:3" x14ac:dyDescent="0.3">
      <c r="A162" t="s">
        <v>265</v>
      </c>
      <c r="B162" s="7">
        <v>15</v>
      </c>
      <c r="C162" s="7">
        <v>99</v>
      </c>
    </row>
    <row r="163" spans="1:3" x14ac:dyDescent="0.3">
      <c r="A163" s="8" t="s">
        <v>165</v>
      </c>
      <c r="B163" s="9">
        <v>1419</v>
      </c>
      <c r="C163" s="9">
        <v>1293</v>
      </c>
    </row>
    <row r="165" spans="1:3" x14ac:dyDescent="0.3">
      <c r="A165" s="2" t="s">
        <v>430</v>
      </c>
    </row>
    <row r="166" spans="1:3" x14ac:dyDescent="0.3">
      <c r="A166" s="2"/>
      <c r="B166" s="5" t="s">
        <v>376</v>
      </c>
      <c r="C166" s="5" t="s">
        <v>377</v>
      </c>
    </row>
    <row r="167" spans="1:3" x14ac:dyDescent="0.3">
      <c r="A167" t="s">
        <v>230</v>
      </c>
      <c r="B167" s="7">
        <v>633</v>
      </c>
      <c r="C167" s="7">
        <v>146</v>
      </c>
    </row>
    <row r="168" spans="1:3" x14ac:dyDescent="0.3">
      <c r="A168" t="s">
        <v>232</v>
      </c>
      <c r="B168" s="7">
        <v>0</v>
      </c>
      <c r="C168" s="7">
        <v>5</v>
      </c>
    </row>
    <row r="169" spans="1:3" x14ac:dyDescent="0.3">
      <c r="A169" s="8" t="s">
        <v>165</v>
      </c>
      <c r="B169" s="9">
        <v>633</v>
      </c>
      <c r="C169" s="9">
        <v>151</v>
      </c>
    </row>
    <row r="171" spans="1:3" x14ac:dyDescent="0.3">
      <c r="A171" s="2" t="s">
        <v>431</v>
      </c>
    </row>
    <row r="172" spans="1:3" x14ac:dyDescent="0.3">
      <c r="A172" s="2"/>
      <c r="B172" s="5" t="s">
        <v>376</v>
      </c>
      <c r="C172" s="5" t="s">
        <v>377</v>
      </c>
    </row>
    <row r="173" spans="1:3" x14ac:dyDescent="0.3">
      <c r="A173" t="s">
        <v>268</v>
      </c>
      <c r="B173" s="7">
        <v>1262</v>
      </c>
      <c r="C173" s="7">
        <v>1154</v>
      </c>
    </row>
    <row r="174" spans="1:3" x14ac:dyDescent="0.3">
      <c r="A174" t="s">
        <v>269</v>
      </c>
      <c r="B174" s="7">
        <v>9146</v>
      </c>
      <c r="C174" s="7">
        <v>9984</v>
      </c>
    </row>
    <row r="175" spans="1:3" x14ac:dyDescent="0.3">
      <c r="A175" s="8" t="s">
        <v>165</v>
      </c>
      <c r="B175" s="9">
        <v>10408</v>
      </c>
      <c r="C175" s="9">
        <v>11138</v>
      </c>
    </row>
    <row r="177" spans="1:3" x14ac:dyDescent="0.3">
      <c r="A177" s="2" t="s">
        <v>432</v>
      </c>
    </row>
    <row r="178" spans="1:3" x14ac:dyDescent="0.3">
      <c r="A178" s="2"/>
      <c r="B178" s="5" t="s">
        <v>376</v>
      </c>
      <c r="C178" s="5" t="s">
        <v>377</v>
      </c>
    </row>
    <row r="179" spans="1:3" x14ac:dyDescent="0.3">
      <c r="A179" t="s">
        <v>271</v>
      </c>
      <c r="B179" s="7">
        <v>57392</v>
      </c>
      <c r="C179" s="7">
        <v>50631</v>
      </c>
    </row>
    <row r="180" spans="1:3" x14ac:dyDescent="0.3">
      <c r="A180" t="s">
        <v>272</v>
      </c>
      <c r="B180" s="7">
        <v>176</v>
      </c>
      <c r="C180" s="7">
        <v>115</v>
      </c>
    </row>
    <row r="181" spans="1:3" x14ac:dyDescent="0.3">
      <c r="A181" t="s">
        <v>433</v>
      </c>
      <c r="B181" s="7">
        <v>316</v>
      </c>
      <c r="C181" s="7">
        <v>103</v>
      </c>
    </row>
    <row r="182" spans="1:3" x14ac:dyDescent="0.3">
      <c r="A182" s="8" t="s">
        <v>165</v>
      </c>
      <c r="B182" s="9">
        <v>57884</v>
      </c>
      <c r="C182" s="9">
        <v>50849</v>
      </c>
    </row>
    <row r="183" spans="1:3" x14ac:dyDescent="0.3">
      <c r="A183" s="4" t="s">
        <v>274</v>
      </c>
    </row>
    <row r="184" spans="1:3" x14ac:dyDescent="0.3">
      <c r="A184" t="s">
        <v>275</v>
      </c>
      <c r="B184" s="7">
        <v>24791</v>
      </c>
      <c r="C184" s="7">
        <v>22831</v>
      </c>
    </row>
    <row r="185" spans="1:3" x14ac:dyDescent="0.3">
      <c r="A185" t="s">
        <v>276</v>
      </c>
      <c r="B185" s="7">
        <v>6133</v>
      </c>
      <c r="C185" s="7">
        <v>5006</v>
      </c>
    </row>
    <row r="186" spans="1:3" x14ac:dyDescent="0.3">
      <c r="A186" t="s">
        <v>277</v>
      </c>
      <c r="B186" s="7">
        <v>12851</v>
      </c>
      <c r="C186" s="7">
        <v>10832</v>
      </c>
    </row>
    <row r="187" spans="1:3" x14ac:dyDescent="0.3">
      <c r="A187" t="s">
        <v>278</v>
      </c>
      <c r="B187" s="7">
        <v>6292</v>
      </c>
      <c r="C187" s="7">
        <v>5406</v>
      </c>
    </row>
    <row r="188" spans="1:3" x14ac:dyDescent="0.3">
      <c r="A188" t="s">
        <v>279</v>
      </c>
      <c r="B188" s="7">
        <v>3289</v>
      </c>
      <c r="C188" s="7">
        <v>3843</v>
      </c>
    </row>
    <row r="189" spans="1:3" x14ac:dyDescent="0.3">
      <c r="A189" t="s">
        <v>265</v>
      </c>
      <c r="B189" s="7">
        <v>4035</v>
      </c>
      <c r="C189" s="7">
        <v>2713</v>
      </c>
    </row>
    <row r="190" spans="1:3" x14ac:dyDescent="0.3">
      <c r="A190" s="8" t="s">
        <v>280</v>
      </c>
      <c r="B190" s="9">
        <v>57392</v>
      </c>
      <c r="C190" s="9">
        <v>50631</v>
      </c>
    </row>
    <row r="192" spans="1:3" x14ac:dyDescent="0.3">
      <c r="A192" s="2" t="s">
        <v>434</v>
      </c>
    </row>
    <row r="193" spans="1:3" x14ac:dyDescent="0.3">
      <c r="A193" s="2"/>
      <c r="B193" s="5" t="s">
        <v>376</v>
      </c>
      <c r="C193" s="5" t="s">
        <v>377</v>
      </c>
    </row>
    <row r="194" spans="1:3" x14ac:dyDescent="0.3">
      <c r="A194" t="s">
        <v>282</v>
      </c>
      <c r="B194" s="7">
        <v>2368</v>
      </c>
      <c r="C194" s="7">
        <v>1881</v>
      </c>
    </row>
    <row r="195" spans="1:3" x14ac:dyDescent="0.3">
      <c r="A195" t="s">
        <v>283</v>
      </c>
      <c r="B195" s="7">
        <v>79</v>
      </c>
      <c r="C195" s="7">
        <v>136</v>
      </c>
    </row>
    <row r="196" spans="1:3" x14ac:dyDescent="0.3">
      <c r="A196" t="s">
        <v>284</v>
      </c>
      <c r="B196" s="7">
        <v>2938</v>
      </c>
      <c r="C196" s="7">
        <v>1001</v>
      </c>
    </row>
    <row r="197" spans="1:3" x14ac:dyDescent="0.3">
      <c r="A197" t="s">
        <v>435</v>
      </c>
      <c r="B197" s="7">
        <v>0</v>
      </c>
      <c r="C197" s="7">
        <v>1719</v>
      </c>
    </row>
    <row r="198" spans="1:3" x14ac:dyDescent="0.3">
      <c r="A198" t="s">
        <v>286</v>
      </c>
      <c r="B198" s="7">
        <v>31</v>
      </c>
      <c r="C198" s="7">
        <v>32</v>
      </c>
    </row>
    <row r="199" spans="1:3" x14ac:dyDescent="0.3">
      <c r="A199" t="s">
        <v>287</v>
      </c>
      <c r="B199" s="7">
        <v>54</v>
      </c>
      <c r="C199" s="7">
        <v>6</v>
      </c>
    </row>
    <row r="200" spans="1:3" x14ac:dyDescent="0.3">
      <c r="A200" t="s">
        <v>289</v>
      </c>
      <c r="B200" s="7">
        <v>0</v>
      </c>
      <c r="C200" s="7">
        <v>1762</v>
      </c>
    </row>
    <row r="201" spans="1:3" x14ac:dyDescent="0.3">
      <c r="A201" t="s">
        <v>290</v>
      </c>
      <c r="B201" s="7">
        <v>430</v>
      </c>
      <c r="C201" s="7">
        <v>358</v>
      </c>
    </row>
    <row r="202" spans="1:3" x14ac:dyDescent="0.3">
      <c r="A202" s="8" t="s">
        <v>165</v>
      </c>
      <c r="B202" s="9">
        <v>5900</v>
      </c>
      <c r="C202" s="9">
        <v>6895</v>
      </c>
    </row>
    <row r="204" spans="1:3" x14ac:dyDescent="0.3">
      <c r="A204" s="2" t="s">
        <v>436</v>
      </c>
    </row>
    <row r="205" spans="1:3" x14ac:dyDescent="0.3">
      <c r="A205" s="2"/>
      <c r="B205" s="5" t="s">
        <v>376</v>
      </c>
      <c r="C205" s="5" t="s">
        <v>377</v>
      </c>
    </row>
    <row r="206" spans="1:3" x14ac:dyDescent="0.3">
      <c r="A206" t="s">
        <v>292</v>
      </c>
      <c r="B206" s="7">
        <v>2101</v>
      </c>
      <c r="C206" s="7">
        <v>1745</v>
      </c>
    </row>
    <row r="207" spans="1:3" x14ac:dyDescent="0.3">
      <c r="A207" t="s">
        <v>293</v>
      </c>
      <c r="B207" s="7">
        <v>20756</v>
      </c>
      <c r="C207" s="7">
        <v>19731</v>
      </c>
    </row>
    <row r="208" spans="1:3" x14ac:dyDescent="0.3">
      <c r="A208" t="s">
        <v>294</v>
      </c>
      <c r="B208" s="7">
        <v>3051</v>
      </c>
      <c r="C208" s="7">
        <v>2101</v>
      </c>
    </row>
    <row r="209" spans="1:3" x14ac:dyDescent="0.3">
      <c r="A209" s="8" t="s">
        <v>165</v>
      </c>
      <c r="B209" s="9">
        <v>19806</v>
      </c>
      <c r="C209" s="9">
        <v>19375</v>
      </c>
    </row>
    <row r="210" spans="1:3" x14ac:dyDescent="0.3">
      <c r="A210" s="4" t="s">
        <v>295</v>
      </c>
    </row>
    <row r="211" spans="1:3" x14ac:dyDescent="0.3">
      <c r="A211" t="s">
        <v>296</v>
      </c>
      <c r="B211" s="7">
        <v>6325</v>
      </c>
      <c r="C211" s="7">
        <v>6046</v>
      </c>
    </row>
    <row r="212" spans="1:3" x14ac:dyDescent="0.3">
      <c r="A212" t="s">
        <v>297</v>
      </c>
      <c r="B212" s="7">
        <v>1918</v>
      </c>
      <c r="C212" s="7">
        <v>2030</v>
      </c>
    </row>
    <row r="213" spans="1:3" x14ac:dyDescent="0.3">
      <c r="A213" t="s">
        <v>298</v>
      </c>
      <c r="B213" s="7">
        <v>623</v>
      </c>
      <c r="C213" s="7">
        <v>988</v>
      </c>
    </row>
    <row r="214" spans="1:3" x14ac:dyDescent="0.3">
      <c r="A214" t="s">
        <v>299</v>
      </c>
      <c r="B214" s="7">
        <v>402</v>
      </c>
      <c r="C214" s="7">
        <v>381</v>
      </c>
    </row>
    <row r="215" spans="1:3" x14ac:dyDescent="0.3">
      <c r="A215" t="s">
        <v>300</v>
      </c>
      <c r="B215" s="7">
        <v>2102</v>
      </c>
      <c r="C215" s="7">
        <v>1395</v>
      </c>
    </row>
    <row r="216" spans="1:3" x14ac:dyDescent="0.3">
      <c r="A216" t="s">
        <v>301</v>
      </c>
      <c r="B216" s="7">
        <v>859</v>
      </c>
      <c r="C216" s="7">
        <v>505</v>
      </c>
    </row>
    <row r="217" spans="1:3" x14ac:dyDescent="0.3">
      <c r="A217" t="s">
        <v>302</v>
      </c>
      <c r="B217" s="7">
        <v>878</v>
      </c>
      <c r="C217" s="7">
        <v>852</v>
      </c>
    </row>
    <row r="218" spans="1:3" x14ac:dyDescent="0.3">
      <c r="A218" t="s">
        <v>265</v>
      </c>
      <c r="B218" s="7">
        <v>6699</v>
      </c>
      <c r="C218" s="7">
        <v>7179</v>
      </c>
    </row>
    <row r="219" spans="1:3" x14ac:dyDescent="0.3">
      <c r="A219" s="8" t="s">
        <v>303</v>
      </c>
      <c r="B219" s="9">
        <v>19806</v>
      </c>
      <c r="C219" s="9">
        <v>19375</v>
      </c>
    </row>
    <row r="221" spans="1:3" x14ac:dyDescent="0.3">
      <c r="A221" s="2" t="s">
        <v>437</v>
      </c>
    </row>
    <row r="222" spans="1:3" x14ac:dyDescent="0.3">
      <c r="A222" s="2"/>
      <c r="B222" s="5" t="s">
        <v>376</v>
      </c>
      <c r="C222" s="5" t="s">
        <v>377</v>
      </c>
    </row>
    <row r="223" spans="1:3" x14ac:dyDescent="0.3">
      <c r="A223" t="s">
        <v>305</v>
      </c>
      <c r="B223" s="7">
        <v>1804</v>
      </c>
      <c r="C223" s="7">
        <v>1578</v>
      </c>
    </row>
    <row r="224" spans="1:3" x14ac:dyDescent="0.3">
      <c r="A224" t="s">
        <v>306</v>
      </c>
      <c r="B224" s="7">
        <v>1281</v>
      </c>
      <c r="C224" s="7">
        <v>1354</v>
      </c>
    </row>
    <row r="225" spans="1:3" x14ac:dyDescent="0.3">
      <c r="A225" t="s">
        <v>307</v>
      </c>
      <c r="B225" s="7">
        <v>389</v>
      </c>
      <c r="C225" s="7">
        <v>855</v>
      </c>
    </row>
    <row r="226" spans="1:3" x14ac:dyDescent="0.3">
      <c r="A226" s="8" t="s">
        <v>308</v>
      </c>
      <c r="B226" s="9">
        <v>3474</v>
      </c>
      <c r="C226" s="9">
        <v>3787</v>
      </c>
    </row>
    <row r="227" spans="1:3" x14ac:dyDescent="0.3">
      <c r="A227" t="s">
        <v>310</v>
      </c>
      <c r="B227" s="7">
        <v>2189</v>
      </c>
      <c r="C227" s="7">
        <v>1804</v>
      </c>
    </row>
    <row r="228" spans="1:3" x14ac:dyDescent="0.3">
      <c r="A228" t="s">
        <v>311</v>
      </c>
      <c r="B228" s="7">
        <v>1791</v>
      </c>
      <c r="C228" s="7">
        <v>1281</v>
      </c>
    </row>
    <row r="229" spans="1:3" x14ac:dyDescent="0.3">
      <c r="A229" t="s">
        <v>312</v>
      </c>
      <c r="B229" s="7">
        <v>1256</v>
      </c>
      <c r="C229" s="7">
        <v>389</v>
      </c>
    </row>
    <row r="230" spans="1:3" x14ac:dyDescent="0.3">
      <c r="A230" s="8" t="s">
        <v>313</v>
      </c>
      <c r="B230" s="9">
        <v>5236</v>
      </c>
      <c r="C230" s="9">
        <v>3474</v>
      </c>
    </row>
    <row r="231" spans="1:3" x14ac:dyDescent="0.3">
      <c r="A231" s="8" t="s">
        <v>314</v>
      </c>
      <c r="B231" s="9">
        <v>-1762</v>
      </c>
      <c r="C231" s="9">
        <v>313</v>
      </c>
    </row>
    <row r="233" spans="1:3" x14ac:dyDescent="0.3">
      <c r="A233" s="2" t="s">
        <v>438</v>
      </c>
    </row>
    <row r="234" spans="1:3" x14ac:dyDescent="0.3">
      <c r="A234" s="2"/>
      <c r="B234" s="5" t="s">
        <v>376</v>
      </c>
      <c r="C234" s="5" t="s">
        <v>377</v>
      </c>
    </row>
    <row r="235" spans="1:3" x14ac:dyDescent="0.3">
      <c r="A235" t="s">
        <v>316</v>
      </c>
      <c r="B235" s="7">
        <v>4590</v>
      </c>
      <c r="C235" s="7">
        <v>4254</v>
      </c>
    </row>
    <row r="236" spans="1:3" x14ac:dyDescent="0.3">
      <c r="A236" t="s">
        <v>317</v>
      </c>
      <c r="B236" s="7">
        <v>231</v>
      </c>
      <c r="C236" s="7">
        <v>206</v>
      </c>
    </row>
    <row r="237" spans="1:3" x14ac:dyDescent="0.3">
      <c r="A237" t="s">
        <v>318</v>
      </c>
      <c r="B237" s="7">
        <v>123</v>
      </c>
      <c r="C237" s="7">
        <v>97</v>
      </c>
    </row>
    <row r="238" spans="1:3" x14ac:dyDescent="0.3">
      <c r="A238" s="8" t="s">
        <v>165</v>
      </c>
      <c r="B238" s="9">
        <v>4944</v>
      </c>
      <c r="C238" s="9">
        <v>4556</v>
      </c>
    </row>
    <row r="240" spans="1:3" x14ac:dyDescent="0.3">
      <c r="A240" s="2" t="s">
        <v>439</v>
      </c>
    </row>
    <row r="241" spans="1:3" x14ac:dyDescent="0.3">
      <c r="A241" s="2"/>
      <c r="B241" s="5" t="s">
        <v>376</v>
      </c>
      <c r="C241" s="5" t="s">
        <v>377</v>
      </c>
    </row>
    <row r="242" spans="1:3" x14ac:dyDescent="0.3">
      <c r="A242" t="s">
        <v>320</v>
      </c>
      <c r="B242" s="7">
        <v>1178</v>
      </c>
      <c r="C242" s="7">
        <v>715</v>
      </c>
    </row>
    <row r="243" spans="1:3" x14ac:dyDescent="0.3">
      <c r="A243" t="s">
        <v>321</v>
      </c>
      <c r="B243" s="7">
        <v>-64</v>
      </c>
      <c r="C243" s="7">
        <v>48</v>
      </c>
    </row>
    <row r="244" spans="1:3" x14ac:dyDescent="0.3">
      <c r="A244" t="s">
        <v>322</v>
      </c>
      <c r="B244" s="7">
        <v>15</v>
      </c>
      <c r="C244" s="7">
        <v>21</v>
      </c>
    </row>
    <row r="245" spans="1:3" x14ac:dyDescent="0.3">
      <c r="A245" s="8" t="s">
        <v>165</v>
      </c>
      <c r="B245" s="9">
        <v>1129</v>
      </c>
      <c r="C245" s="9">
        <v>784</v>
      </c>
    </row>
    <row r="247" spans="1:3" x14ac:dyDescent="0.3">
      <c r="A247" s="2" t="s">
        <v>440</v>
      </c>
    </row>
    <row r="248" spans="1:3" x14ac:dyDescent="0.3">
      <c r="A248" s="2"/>
      <c r="B248" s="5" t="s">
        <v>376</v>
      </c>
      <c r="C248" s="5" t="s">
        <v>377</v>
      </c>
    </row>
    <row r="249" spans="1:3" x14ac:dyDescent="0.3">
      <c r="A249" t="s">
        <v>324</v>
      </c>
      <c r="B249" s="7">
        <v>966</v>
      </c>
      <c r="C249" s="7">
        <v>916</v>
      </c>
    </row>
    <row r="250" spans="1:3" x14ac:dyDescent="0.3">
      <c r="A250" t="s">
        <v>325</v>
      </c>
      <c r="B250" s="7">
        <v>24</v>
      </c>
      <c r="C250" s="7">
        <v>24</v>
      </c>
    </row>
    <row r="251" spans="1:3" x14ac:dyDescent="0.3">
      <c r="A251" s="8" t="s">
        <v>165</v>
      </c>
      <c r="B251" s="9">
        <v>990</v>
      </c>
      <c r="C251" s="9">
        <v>940</v>
      </c>
    </row>
    <row r="253" spans="1:3" x14ac:dyDescent="0.3">
      <c r="A253" s="2" t="s">
        <v>441</v>
      </c>
    </row>
    <row r="254" spans="1:3" x14ac:dyDescent="0.3">
      <c r="A254" s="2"/>
      <c r="B254" s="5" t="s">
        <v>376</v>
      </c>
      <c r="C254" s="5" t="s">
        <v>377</v>
      </c>
    </row>
    <row r="255" spans="1:3" x14ac:dyDescent="0.3">
      <c r="A255" t="s">
        <v>327</v>
      </c>
      <c r="B255" s="7">
        <v>475</v>
      </c>
      <c r="C255" s="7">
        <v>349</v>
      </c>
    </row>
    <row r="256" spans="1:3" x14ac:dyDescent="0.3">
      <c r="A256" t="s">
        <v>328</v>
      </c>
      <c r="B256" s="7">
        <v>1265</v>
      </c>
      <c r="C256" s="7">
        <v>902</v>
      </c>
    </row>
    <row r="257" spans="1:3" x14ac:dyDescent="0.3">
      <c r="A257" t="s">
        <v>329</v>
      </c>
      <c r="B257" s="7">
        <v>924</v>
      </c>
      <c r="C257" s="7">
        <v>726</v>
      </c>
    </row>
    <row r="258" spans="1:3" x14ac:dyDescent="0.3">
      <c r="A258" t="s">
        <v>330</v>
      </c>
      <c r="B258" s="7">
        <v>103</v>
      </c>
      <c r="C258" s="7">
        <v>142</v>
      </c>
    </row>
    <row r="259" spans="1:3" x14ac:dyDescent="0.3">
      <c r="A259" t="s">
        <v>331</v>
      </c>
      <c r="B259" s="7">
        <v>92</v>
      </c>
      <c r="C259" s="7">
        <v>11</v>
      </c>
    </row>
    <row r="260" spans="1:3" x14ac:dyDescent="0.3">
      <c r="A260" t="s">
        <v>332</v>
      </c>
      <c r="B260" s="7">
        <v>67</v>
      </c>
      <c r="C260" s="7">
        <v>39</v>
      </c>
    </row>
    <row r="261" spans="1:3" x14ac:dyDescent="0.3">
      <c r="A261" t="s">
        <v>333</v>
      </c>
      <c r="B261" s="7">
        <v>10</v>
      </c>
      <c r="C261" s="7">
        <v>10</v>
      </c>
    </row>
    <row r="262" spans="1:3" x14ac:dyDescent="0.3">
      <c r="A262" t="s">
        <v>334</v>
      </c>
      <c r="B262" s="7">
        <v>244</v>
      </c>
      <c r="C262" s="7">
        <v>239</v>
      </c>
    </row>
    <row r="263" spans="1:3" x14ac:dyDescent="0.3">
      <c r="A263" t="s">
        <v>335</v>
      </c>
      <c r="B263" s="7">
        <v>3787</v>
      </c>
      <c r="C263" s="7">
        <v>4122</v>
      </c>
    </row>
    <row r="264" spans="1:3" x14ac:dyDescent="0.3">
      <c r="A264" t="s">
        <v>336</v>
      </c>
      <c r="B264" s="7">
        <v>345</v>
      </c>
      <c r="C264" s="7">
        <v>232</v>
      </c>
    </row>
    <row r="265" spans="1:3" x14ac:dyDescent="0.3">
      <c r="A265" t="s">
        <v>337</v>
      </c>
      <c r="B265" s="7">
        <v>43</v>
      </c>
      <c r="C265" s="7">
        <v>26</v>
      </c>
    </row>
    <row r="266" spans="1:3" x14ac:dyDescent="0.3">
      <c r="A266" t="s">
        <v>338</v>
      </c>
      <c r="B266" s="7">
        <v>3072</v>
      </c>
      <c r="C266" s="7">
        <v>2897</v>
      </c>
    </row>
    <row r="267" spans="1:3" x14ac:dyDescent="0.3">
      <c r="A267" t="s">
        <v>339</v>
      </c>
      <c r="B267" s="7">
        <v>199</v>
      </c>
      <c r="C267" s="7">
        <v>303</v>
      </c>
    </row>
    <row r="268" spans="1:3" x14ac:dyDescent="0.3">
      <c r="A268" t="s">
        <v>442</v>
      </c>
      <c r="B268" s="7">
        <v>189</v>
      </c>
      <c r="C268" s="7">
        <v>0</v>
      </c>
    </row>
    <row r="269" spans="1:3" x14ac:dyDescent="0.3">
      <c r="A269" t="s">
        <v>340</v>
      </c>
      <c r="B269" s="7">
        <v>16</v>
      </c>
      <c r="C269" s="7">
        <v>16</v>
      </c>
    </row>
    <row r="270" spans="1:3" x14ac:dyDescent="0.3">
      <c r="A270" t="s">
        <v>341</v>
      </c>
      <c r="B270" s="7">
        <v>1204</v>
      </c>
      <c r="C270" s="7">
        <v>1259</v>
      </c>
    </row>
    <row r="271" spans="1:3" x14ac:dyDescent="0.3">
      <c r="A271" s="8" t="s">
        <v>165</v>
      </c>
      <c r="B271" s="9">
        <v>12035</v>
      </c>
      <c r="C271" s="9">
        <v>11273</v>
      </c>
    </row>
    <row r="273" spans="1:3" x14ac:dyDescent="0.3">
      <c r="A273" s="2" t="s">
        <v>443</v>
      </c>
    </row>
    <row r="274" spans="1:3" x14ac:dyDescent="0.3">
      <c r="A274" s="2"/>
      <c r="B274" s="5" t="s">
        <v>376</v>
      </c>
      <c r="C274" s="5" t="s">
        <v>377</v>
      </c>
    </row>
    <row r="275" spans="1:3" x14ac:dyDescent="0.3">
      <c r="A275" t="s">
        <v>107</v>
      </c>
      <c r="B275" s="7">
        <v>483662163</v>
      </c>
      <c r="C275" s="7">
        <v>483662163</v>
      </c>
    </row>
    <row r="276" spans="1:3" x14ac:dyDescent="0.3">
      <c r="A276" t="s">
        <v>343</v>
      </c>
      <c r="B276" s="7">
        <v>8177</v>
      </c>
      <c r="C276" s="7">
        <v>9734</v>
      </c>
    </row>
    <row r="277" spans="1:3" x14ac:dyDescent="0.3">
      <c r="A277" t="s">
        <v>344</v>
      </c>
      <c r="B277" s="7">
        <v>16.91</v>
      </c>
      <c r="C277" s="7">
        <v>20.13</v>
      </c>
    </row>
    <row r="279" spans="1:3" x14ac:dyDescent="0.3">
      <c r="A279" s="2" t="s">
        <v>444</v>
      </c>
    </row>
    <row r="280" spans="1:3" x14ac:dyDescent="0.3">
      <c r="A280" s="2"/>
      <c r="B280" s="5" t="s">
        <v>376</v>
      </c>
      <c r="C280" s="5" t="s">
        <v>377</v>
      </c>
    </row>
    <row r="281" spans="1:3" x14ac:dyDescent="0.3">
      <c r="A281" t="s">
        <v>346</v>
      </c>
      <c r="B281" s="7">
        <v>60</v>
      </c>
      <c r="C281" s="7">
        <v>114</v>
      </c>
    </row>
    <row r="283" spans="1:3" x14ac:dyDescent="0.3">
      <c r="A283" s="2" t="s">
        <v>445</v>
      </c>
    </row>
    <row r="284" spans="1:3" x14ac:dyDescent="0.3">
      <c r="A284" s="2"/>
      <c r="B284" s="5" t="s">
        <v>376</v>
      </c>
      <c r="C284" s="5" t="s">
        <v>377</v>
      </c>
    </row>
    <row r="285" spans="1:3" x14ac:dyDescent="0.3">
      <c r="A285" t="s">
        <v>348</v>
      </c>
      <c r="B285" s="7">
        <v>932</v>
      </c>
      <c r="C285" s="7">
        <v>867</v>
      </c>
    </row>
    <row r="286" spans="1:3" x14ac:dyDescent="0.3">
      <c r="A286" t="s">
        <v>349</v>
      </c>
      <c r="B286" s="7">
        <v>921</v>
      </c>
      <c r="C286" s="7">
        <v>946</v>
      </c>
    </row>
    <row r="287" spans="1:3" x14ac:dyDescent="0.3">
      <c r="A287" t="s">
        <v>446</v>
      </c>
      <c r="B287" s="7">
        <v>144</v>
      </c>
      <c r="C287" s="7">
        <v>217</v>
      </c>
    </row>
    <row r="289" spans="1:3" x14ac:dyDescent="0.3">
      <c r="A289" s="2" t="s">
        <v>447</v>
      </c>
    </row>
    <row r="290" spans="1:3" x14ac:dyDescent="0.3">
      <c r="A290" s="2"/>
      <c r="B290" s="5" t="s">
        <v>376</v>
      </c>
      <c r="C290" s="5" t="s">
        <v>377</v>
      </c>
    </row>
    <row r="291" spans="1:3" x14ac:dyDescent="0.3">
      <c r="A291" t="s">
        <v>352</v>
      </c>
      <c r="B291" s="7">
        <v>2396</v>
      </c>
      <c r="C291" s="7">
        <v>2131</v>
      </c>
    </row>
    <row r="292" spans="1:3" x14ac:dyDescent="0.3">
      <c r="A292" t="s">
        <v>353</v>
      </c>
      <c r="B292" s="7">
        <v>16</v>
      </c>
      <c r="C292" s="7">
        <v>-6</v>
      </c>
    </row>
    <row r="293" spans="1:3" x14ac:dyDescent="0.3">
      <c r="A293" t="s">
        <v>355</v>
      </c>
      <c r="B293" s="7">
        <v>-6</v>
      </c>
      <c r="C293" s="7">
        <v>248</v>
      </c>
    </row>
    <row r="294" spans="1:3" x14ac:dyDescent="0.3">
      <c r="A294" t="s">
        <v>356</v>
      </c>
      <c r="B294" s="7">
        <v>-9</v>
      </c>
      <c r="C294" s="7">
        <v>-11</v>
      </c>
    </row>
    <row r="295" spans="1:3" x14ac:dyDescent="0.3">
      <c r="A295" s="8" t="s">
        <v>358</v>
      </c>
      <c r="B295" s="9">
        <v>2397</v>
      </c>
      <c r="C295" s="9">
        <v>2362</v>
      </c>
    </row>
    <row r="296" spans="1:3" x14ac:dyDescent="0.3">
      <c r="A296" t="s">
        <v>359</v>
      </c>
      <c r="B296" s="7">
        <v>10574</v>
      </c>
      <c r="C296" s="7">
        <v>12096</v>
      </c>
    </row>
    <row r="297" spans="1:3" x14ac:dyDescent="0.3">
      <c r="A297" t="s">
        <v>360</v>
      </c>
      <c r="B297" s="7">
        <v>2662</v>
      </c>
      <c r="C297" s="7">
        <v>3044</v>
      </c>
    </row>
    <row r="298" spans="1:3" x14ac:dyDescent="0.3">
      <c r="A298" t="s">
        <v>448</v>
      </c>
      <c r="B298" s="7">
        <v>-118</v>
      </c>
      <c r="C298" s="7">
        <v>-565</v>
      </c>
    </row>
    <row r="299" spans="1:3" x14ac:dyDescent="0.3">
      <c r="A299" t="s">
        <v>449</v>
      </c>
      <c r="B299" s="7">
        <v>-231</v>
      </c>
      <c r="C299" s="7">
        <v>-127</v>
      </c>
    </row>
    <row r="300" spans="1:3" x14ac:dyDescent="0.3">
      <c r="A300" t="s">
        <v>363</v>
      </c>
      <c r="B300" s="7">
        <v>61</v>
      </c>
      <c r="C300" s="7">
        <v>115</v>
      </c>
    </row>
    <row r="301" spans="1:3" x14ac:dyDescent="0.3">
      <c r="A301" t="s">
        <v>364</v>
      </c>
      <c r="B301" s="7">
        <v>0</v>
      </c>
      <c r="C301" s="7">
        <v>-123</v>
      </c>
    </row>
    <row r="302" spans="1:3" x14ac:dyDescent="0.3">
      <c r="A302" t="s">
        <v>265</v>
      </c>
      <c r="B302" s="7">
        <v>24</v>
      </c>
      <c r="C302" s="7">
        <v>18</v>
      </c>
    </row>
    <row r="303" spans="1:3" x14ac:dyDescent="0.3">
      <c r="A303" t="s">
        <v>365</v>
      </c>
      <c r="B303" s="7">
        <v>23</v>
      </c>
      <c r="C303" s="7">
        <v>20</v>
      </c>
    </row>
    <row r="305" spans="1:3" x14ac:dyDescent="0.3">
      <c r="A305" s="2" t="s">
        <v>450</v>
      </c>
    </row>
    <row r="306" spans="1:3" x14ac:dyDescent="0.3">
      <c r="A306" s="2"/>
      <c r="B306" s="5" t="s">
        <v>376</v>
      </c>
      <c r="C306" s="5" t="s">
        <v>377</v>
      </c>
    </row>
    <row r="307" spans="1:3" x14ac:dyDescent="0.3">
      <c r="A307" t="s">
        <v>451</v>
      </c>
      <c r="B307" s="7">
        <v>166</v>
      </c>
      <c r="C307" s="7">
        <v>158</v>
      </c>
    </row>
    <row r="308" spans="1:3" x14ac:dyDescent="0.3">
      <c r="A308" t="s">
        <v>452</v>
      </c>
      <c r="B308" s="7">
        <v>0</v>
      </c>
      <c r="C308" s="7">
        <v>0</v>
      </c>
    </row>
    <row r="309" spans="1:3" x14ac:dyDescent="0.3">
      <c r="A309" t="s">
        <v>453</v>
      </c>
      <c r="B309" s="7">
        <v>32</v>
      </c>
      <c r="C309" s="7">
        <v>158</v>
      </c>
    </row>
    <row r="310" spans="1:3" x14ac:dyDescent="0.3">
      <c r="A310" t="s">
        <v>454</v>
      </c>
      <c r="B310" s="7">
        <v>134</v>
      </c>
      <c r="C310" s="7">
        <v>0</v>
      </c>
    </row>
    <row r="312" spans="1:3" x14ac:dyDescent="0.3">
      <c r="A312" s="2" t="s">
        <v>455</v>
      </c>
    </row>
    <row r="313" spans="1:3" x14ac:dyDescent="0.3">
      <c r="A313" s="2"/>
      <c r="B313" s="5" t="s">
        <v>376</v>
      </c>
      <c r="C313" s="5" t="s">
        <v>377</v>
      </c>
    </row>
    <row r="314" spans="1:3" x14ac:dyDescent="0.3">
      <c r="A314" t="s">
        <v>370</v>
      </c>
      <c r="B314" s="7">
        <v>1262</v>
      </c>
      <c r="C314" s="7">
        <v>1154</v>
      </c>
    </row>
    <row r="315" spans="1:3" x14ac:dyDescent="0.3">
      <c r="A315" t="s">
        <v>371</v>
      </c>
      <c r="B315" s="7">
        <v>2</v>
      </c>
      <c r="C315" s="7">
        <v>0</v>
      </c>
    </row>
    <row r="316" spans="1:3" x14ac:dyDescent="0.3">
      <c r="A316" t="s">
        <v>372</v>
      </c>
      <c r="B316" s="7">
        <v>0</v>
      </c>
      <c r="C316" s="7">
        <v>0</v>
      </c>
    </row>
    <row r="317" spans="1:3" x14ac:dyDescent="0.3">
      <c r="A317" t="s">
        <v>373</v>
      </c>
      <c r="B317" s="7">
        <v>16</v>
      </c>
      <c r="C317" s="7">
        <v>14</v>
      </c>
    </row>
    <row r="318" spans="1:3" x14ac:dyDescent="0.3">
      <c r="A318" t="s">
        <v>374</v>
      </c>
      <c r="B318" s="7">
        <v>0</v>
      </c>
      <c r="C318" s="7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7"/>
  <sheetViews>
    <sheetView workbookViewId="0">
      <pane ySplit="4" topLeftCell="A36" activePane="bottomLeft" state="frozen"/>
      <selection pane="bottomLeft" activeCell="A6" sqref="A6"/>
    </sheetView>
  </sheetViews>
  <sheetFormatPr defaultRowHeight="14.4" x14ac:dyDescent="0.3"/>
  <cols>
    <col min="1" max="1" width="58" customWidth="1"/>
    <col min="2" max="3" width="18" customWidth="1"/>
    <col min="4" max="4" width="4" customWidth="1"/>
  </cols>
  <sheetData>
    <row r="1" spans="1:7" ht="17.399999999999999" x14ac:dyDescent="0.35">
      <c r="A1" s="1" t="s">
        <v>30</v>
      </c>
    </row>
    <row r="2" spans="1:7" x14ac:dyDescent="0.3">
      <c r="A2" s="2" t="s">
        <v>31</v>
      </c>
    </row>
    <row r="3" spans="1:7" x14ac:dyDescent="0.3">
      <c r="A3" s="3" t="s">
        <v>456</v>
      </c>
    </row>
    <row r="4" spans="1:7" x14ac:dyDescent="0.3">
      <c r="A4" s="4" t="s">
        <v>33</v>
      </c>
    </row>
    <row r="6" spans="1:7" x14ac:dyDescent="0.3">
      <c r="A6" s="2" t="s">
        <v>34</v>
      </c>
      <c r="B6" s="5" t="s">
        <v>457</v>
      </c>
      <c r="C6" s="5" t="s">
        <v>376</v>
      </c>
    </row>
    <row r="7" spans="1:7" x14ac:dyDescent="0.3">
      <c r="A7" s="6" t="s">
        <v>37</v>
      </c>
    </row>
    <row r="8" spans="1:7" x14ac:dyDescent="0.3">
      <c r="A8" s="6" t="s">
        <v>38</v>
      </c>
    </row>
    <row r="9" spans="1:7" x14ac:dyDescent="0.3">
      <c r="A9" t="s">
        <v>39</v>
      </c>
      <c r="B9" s="7">
        <v>9793</v>
      </c>
      <c r="C9" s="7">
        <v>8897</v>
      </c>
    </row>
    <row r="10" spans="1:7" x14ac:dyDescent="0.3">
      <c r="A10" t="s">
        <v>40</v>
      </c>
      <c r="B10" s="7">
        <v>304</v>
      </c>
      <c r="C10" s="7">
        <v>1200</v>
      </c>
    </row>
    <row r="11" spans="1:7" x14ac:dyDescent="0.3">
      <c r="A11" t="s">
        <v>41</v>
      </c>
      <c r="B11" s="7">
        <v>800</v>
      </c>
      <c r="C11" s="7">
        <v>807</v>
      </c>
    </row>
    <row r="12" spans="1:7" x14ac:dyDescent="0.3">
      <c r="A12" t="s">
        <v>42</v>
      </c>
      <c r="B12" s="7">
        <v>362</v>
      </c>
      <c r="C12" s="7">
        <v>362</v>
      </c>
    </row>
    <row r="13" spans="1:7" x14ac:dyDescent="0.3">
      <c r="A13" t="s">
        <v>43</v>
      </c>
      <c r="B13" s="7">
        <v>1723</v>
      </c>
      <c r="C13" s="7">
        <v>1101</v>
      </c>
    </row>
    <row r="14" spans="1:7" x14ac:dyDescent="0.3">
      <c r="A14" t="s">
        <v>44</v>
      </c>
      <c r="B14" s="7">
        <v>33415</v>
      </c>
      <c r="C14" s="7">
        <v>32785</v>
      </c>
    </row>
    <row r="15" spans="1:7" x14ac:dyDescent="0.3">
      <c r="A15" t="s">
        <v>51</v>
      </c>
      <c r="B15" s="7">
        <v>99</v>
      </c>
      <c r="C15" s="7">
        <v>272</v>
      </c>
    </row>
    <row r="16" spans="1:7" x14ac:dyDescent="0.3">
      <c r="A16" t="s">
        <v>52</v>
      </c>
      <c r="B16" s="7">
        <v>1</v>
      </c>
      <c r="C16" s="7">
        <v>0</v>
      </c>
      <c r="G16" s="7">
        <f>B9</f>
        <v>9793</v>
      </c>
    </row>
    <row r="17" spans="1:7" x14ac:dyDescent="0.3">
      <c r="A17" t="s">
        <v>45</v>
      </c>
      <c r="B17" s="7">
        <v>15048</v>
      </c>
      <c r="C17" s="7">
        <v>17366</v>
      </c>
      <c r="F17" s="7"/>
      <c r="G17" s="7">
        <f>SUM(B10)</f>
        <v>304</v>
      </c>
    </row>
    <row r="18" spans="1:7" x14ac:dyDescent="0.3">
      <c r="A18" t="s">
        <v>46</v>
      </c>
      <c r="B18" s="7">
        <v>4</v>
      </c>
      <c r="C18" s="7">
        <v>58</v>
      </c>
      <c r="F18" s="7"/>
      <c r="G18" s="7">
        <f>SUM(C14)</f>
        <v>32785</v>
      </c>
    </row>
    <row r="19" spans="1:7" x14ac:dyDescent="0.3">
      <c r="A19" t="s">
        <v>458</v>
      </c>
      <c r="B19" s="7">
        <v>661</v>
      </c>
      <c r="C19" s="7">
        <v>720</v>
      </c>
      <c r="F19" s="7"/>
      <c r="G19" s="7">
        <f>SUM(B11:B13,B15:B20)</f>
        <v>19592</v>
      </c>
    </row>
    <row r="20" spans="1:7" x14ac:dyDescent="0.3">
      <c r="A20" t="s">
        <v>55</v>
      </c>
      <c r="B20" s="7">
        <v>894</v>
      </c>
      <c r="C20" s="7">
        <v>839</v>
      </c>
      <c r="F20" s="7"/>
    </row>
    <row r="21" spans="1:7" x14ac:dyDescent="0.3">
      <c r="A21" s="8" t="s">
        <v>48</v>
      </c>
      <c r="B21" s="9">
        <v>63104</v>
      </c>
      <c r="C21" s="9">
        <v>64407</v>
      </c>
    </row>
    <row r="22" spans="1:7" x14ac:dyDescent="0.3">
      <c r="A22" s="6" t="s">
        <v>49</v>
      </c>
    </row>
    <row r="23" spans="1:7" x14ac:dyDescent="0.3">
      <c r="A23" t="s">
        <v>50</v>
      </c>
      <c r="B23" s="7">
        <v>8069</v>
      </c>
      <c r="C23" s="7">
        <v>8616</v>
      </c>
    </row>
    <row r="24" spans="1:7" x14ac:dyDescent="0.3">
      <c r="A24" t="s">
        <v>44</v>
      </c>
      <c r="B24" s="7">
        <v>67114</v>
      </c>
      <c r="C24" s="7">
        <v>54972</v>
      </c>
    </row>
    <row r="25" spans="1:7" x14ac:dyDescent="0.3">
      <c r="A25" t="s">
        <v>51</v>
      </c>
      <c r="B25" s="7">
        <v>6799</v>
      </c>
      <c r="C25" s="7">
        <v>5784</v>
      </c>
    </row>
    <row r="26" spans="1:7" x14ac:dyDescent="0.3">
      <c r="A26" t="s">
        <v>52</v>
      </c>
      <c r="B26" s="7">
        <v>0</v>
      </c>
      <c r="C26" s="7">
        <v>9</v>
      </c>
    </row>
    <row r="27" spans="1:7" x14ac:dyDescent="0.3">
      <c r="A27" t="s">
        <v>53</v>
      </c>
      <c r="B27" s="7">
        <v>1597</v>
      </c>
      <c r="C27" s="7">
        <v>2742</v>
      </c>
    </row>
    <row r="28" spans="1:7" x14ac:dyDescent="0.3">
      <c r="A28" t="s">
        <v>45</v>
      </c>
      <c r="B28" s="7">
        <v>5324</v>
      </c>
      <c r="C28" s="7">
        <v>251</v>
      </c>
    </row>
    <row r="29" spans="1:7" x14ac:dyDescent="0.3">
      <c r="A29" t="s">
        <v>46</v>
      </c>
      <c r="B29" s="7">
        <v>2017</v>
      </c>
      <c r="C29" s="7">
        <v>1313</v>
      </c>
    </row>
    <row r="30" spans="1:7" x14ac:dyDescent="0.3">
      <c r="A30" t="s">
        <v>55</v>
      </c>
      <c r="B30" s="7">
        <v>1764</v>
      </c>
      <c r="C30" s="7">
        <v>2210</v>
      </c>
    </row>
    <row r="31" spans="1:7" x14ac:dyDescent="0.3">
      <c r="A31" t="s">
        <v>459</v>
      </c>
      <c r="B31" s="7">
        <v>53</v>
      </c>
      <c r="C31" s="7">
        <v>0</v>
      </c>
    </row>
    <row r="32" spans="1:7" x14ac:dyDescent="0.3">
      <c r="A32" s="8" t="s">
        <v>56</v>
      </c>
      <c r="B32" s="9">
        <v>92737</v>
      </c>
      <c r="C32" s="9">
        <v>75897</v>
      </c>
    </row>
    <row r="33" spans="1:7" x14ac:dyDescent="0.3">
      <c r="A33" s="10" t="s">
        <v>57</v>
      </c>
      <c r="B33" s="11">
        <v>155841</v>
      </c>
      <c r="C33" s="11">
        <v>140304</v>
      </c>
    </row>
    <row r="34" spans="1:7" x14ac:dyDescent="0.3">
      <c r="A34" s="6" t="s">
        <v>58</v>
      </c>
      <c r="G34" s="7" t="s">
        <v>690</v>
      </c>
    </row>
    <row r="35" spans="1:7" x14ac:dyDescent="0.3">
      <c r="A35" s="6" t="s">
        <v>59</v>
      </c>
    </row>
    <row r="36" spans="1:7" x14ac:dyDescent="0.3">
      <c r="A36" t="s">
        <v>60</v>
      </c>
      <c r="B36" s="7">
        <v>4837</v>
      </c>
      <c r="C36" s="7">
        <v>4837</v>
      </c>
    </row>
    <row r="37" spans="1:7" x14ac:dyDescent="0.3">
      <c r="A37" t="s">
        <v>61</v>
      </c>
      <c r="B37" s="7">
        <v>106557</v>
      </c>
      <c r="C37" s="7">
        <v>96046</v>
      </c>
    </row>
    <row r="38" spans="1:7" x14ac:dyDescent="0.3">
      <c r="A38" s="8" t="s">
        <v>62</v>
      </c>
      <c r="B38" s="9">
        <v>111394</v>
      </c>
      <c r="C38" s="9">
        <v>100883</v>
      </c>
    </row>
    <row r="39" spans="1:7" x14ac:dyDescent="0.3">
      <c r="A39" s="6" t="s">
        <v>63</v>
      </c>
    </row>
    <row r="40" spans="1:7" x14ac:dyDescent="0.3">
      <c r="A40" t="s">
        <v>64</v>
      </c>
      <c r="B40" s="7">
        <v>14985</v>
      </c>
      <c r="C40" s="7">
        <v>18967</v>
      </c>
    </row>
    <row r="41" spans="1:7" x14ac:dyDescent="0.3">
      <c r="A41" t="s">
        <v>65</v>
      </c>
      <c r="B41" s="7">
        <v>22</v>
      </c>
      <c r="C41" s="7">
        <v>32</v>
      </c>
    </row>
    <row r="42" spans="1:7" x14ac:dyDescent="0.3">
      <c r="A42" t="s">
        <v>460</v>
      </c>
      <c r="B42" s="7">
        <v>1571</v>
      </c>
      <c r="C42" s="7">
        <v>338</v>
      </c>
    </row>
    <row r="43" spans="1:7" x14ac:dyDescent="0.3">
      <c r="A43" t="s">
        <v>67</v>
      </c>
      <c r="B43" s="7">
        <v>10</v>
      </c>
      <c r="C43" s="7">
        <v>75</v>
      </c>
    </row>
    <row r="44" spans="1:7" x14ac:dyDescent="0.3">
      <c r="A44" t="s">
        <v>68</v>
      </c>
      <c r="B44" s="7">
        <v>1018</v>
      </c>
      <c r="C44" s="7">
        <v>1294</v>
      </c>
    </row>
    <row r="45" spans="1:7" x14ac:dyDescent="0.3">
      <c r="A45" s="8" t="s">
        <v>69</v>
      </c>
      <c r="B45" s="9">
        <v>17606</v>
      </c>
      <c r="C45" s="9">
        <v>20706</v>
      </c>
    </row>
    <row r="46" spans="1:7" x14ac:dyDescent="0.3">
      <c r="A46" s="6" t="s">
        <v>70</v>
      </c>
    </row>
    <row r="47" spans="1:7" x14ac:dyDescent="0.3">
      <c r="A47" t="s">
        <v>64</v>
      </c>
      <c r="B47" s="7">
        <v>9850</v>
      </c>
      <c r="C47" s="7">
        <v>2862</v>
      </c>
    </row>
    <row r="48" spans="1:7" x14ac:dyDescent="0.3">
      <c r="A48" t="s">
        <v>65</v>
      </c>
      <c r="B48" s="7">
        <v>83</v>
      </c>
      <c r="C48" s="7">
        <v>119</v>
      </c>
    </row>
    <row r="49" spans="1:3" x14ac:dyDescent="0.3">
      <c r="A49" t="s">
        <v>71</v>
      </c>
      <c r="B49" s="7">
        <v>516</v>
      </c>
      <c r="C49" s="7">
        <v>0</v>
      </c>
    </row>
    <row r="50" spans="1:3" x14ac:dyDescent="0.3">
      <c r="A50" t="s">
        <v>72</v>
      </c>
      <c r="B50" s="7">
        <v>1214</v>
      </c>
      <c r="C50" s="7">
        <v>1262</v>
      </c>
    </row>
    <row r="51" spans="1:3" x14ac:dyDescent="0.3">
      <c r="A51" t="s">
        <v>73</v>
      </c>
      <c r="B51" s="7">
        <v>11061</v>
      </c>
      <c r="C51" s="7">
        <v>9716</v>
      </c>
    </row>
    <row r="52" spans="1:3" x14ac:dyDescent="0.3">
      <c r="A52" t="s">
        <v>66</v>
      </c>
      <c r="B52" s="7">
        <v>1706</v>
      </c>
      <c r="C52" s="7">
        <v>2002</v>
      </c>
    </row>
    <row r="53" spans="1:3" x14ac:dyDescent="0.3">
      <c r="A53" t="s">
        <v>378</v>
      </c>
      <c r="B53" s="7">
        <v>1109</v>
      </c>
      <c r="C53" s="7">
        <v>1419</v>
      </c>
    </row>
    <row r="54" spans="1:3" x14ac:dyDescent="0.3">
      <c r="A54" t="s">
        <v>67</v>
      </c>
      <c r="B54" s="7">
        <v>199</v>
      </c>
      <c r="C54" s="7">
        <v>161</v>
      </c>
    </row>
    <row r="55" spans="1:3" x14ac:dyDescent="0.3">
      <c r="A55" t="s">
        <v>76</v>
      </c>
      <c r="B55" s="7">
        <v>1103</v>
      </c>
      <c r="C55" s="7">
        <v>1174</v>
      </c>
    </row>
    <row r="56" spans="1:3" x14ac:dyDescent="0.3">
      <c r="A56" s="8" t="s">
        <v>77</v>
      </c>
      <c r="B56" s="9">
        <v>26841</v>
      </c>
      <c r="C56" s="9">
        <v>18715</v>
      </c>
    </row>
    <row r="57" spans="1:3" x14ac:dyDescent="0.3">
      <c r="A57" s="10" t="s">
        <v>78</v>
      </c>
      <c r="B57" s="11">
        <v>155841</v>
      </c>
      <c r="C57" s="11">
        <v>140304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4"/>
  <sheetViews>
    <sheetView workbookViewId="0">
      <pane ySplit="4" topLeftCell="A6" activePane="bottomLeft" state="frozen"/>
      <selection pane="bottomLeft" activeCell="C15" sqref="C15"/>
    </sheetView>
  </sheetViews>
  <sheetFormatPr defaultRowHeight="14.4" x14ac:dyDescent="0.3"/>
  <cols>
    <col min="1" max="1" width="58" customWidth="1"/>
    <col min="2" max="3" width="18" customWidth="1"/>
    <col min="4" max="4" width="4" customWidth="1"/>
  </cols>
  <sheetData>
    <row r="1" spans="1:3" ht="17.399999999999999" x14ac:dyDescent="0.35">
      <c r="A1" s="1" t="s">
        <v>30</v>
      </c>
    </row>
    <row r="2" spans="1:3" x14ac:dyDescent="0.3">
      <c r="A2" s="2" t="s">
        <v>79</v>
      </c>
    </row>
    <row r="3" spans="1:3" x14ac:dyDescent="0.3">
      <c r="A3" s="3" t="s">
        <v>461</v>
      </c>
    </row>
    <row r="4" spans="1:3" x14ac:dyDescent="0.3">
      <c r="A4" s="4" t="s">
        <v>33</v>
      </c>
    </row>
    <row r="6" spans="1:3" x14ac:dyDescent="0.3">
      <c r="A6" s="2" t="s">
        <v>34</v>
      </c>
      <c r="B6" s="5" t="s">
        <v>457</v>
      </c>
      <c r="C6" s="5" t="s">
        <v>376</v>
      </c>
    </row>
    <row r="7" spans="1:3" x14ac:dyDescent="0.3">
      <c r="A7" s="6" t="s">
        <v>81</v>
      </c>
    </row>
    <row r="8" spans="1:3" x14ac:dyDescent="0.3">
      <c r="A8" t="s">
        <v>82</v>
      </c>
      <c r="B8" s="7">
        <v>70052</v>
      </c>
      <c r="C8" s="7">
        <v>57884</v>
      </c>
    </row>
    <row r="9" spans="1:3" x14ac:dyDescent="0.3">
      <c r="A9" t="s">
        <v>83</v>
      </c>
      <c r="B9" s="7">
        <v>7572</v>
      </c>
      <c r="C9" s="7">
        <v>5711</v>
      </c>
    </row>
    <row r="10" spans="1:3" x14ac:dyDescent="0.3">
      <c r="A10" s="8" t="s">
        <v>84</v>
      </c>
      <c r="B10" s="9">
        <v>77624</v>
      </c>
      <c r="C10" s="9">
        <v>63595</v>
      </c>
    </row>
    <row r="11" spans="1:3" x14ac:dyDescent="0.3">
      <c r="A11" s="6" t="s">
        <v>85</v>
      </c>
    </row>
    <row r="12" spans="1:3" x14ac:dyDescent="0.3">
      <c r="A12" t="s">
        <v>86</v>
      </c>
      <c r="B12" s="7">
        <v>37573</v>
      </c>
      <c r="C12" s="7">
        <v>29030</v>
      </c>
    </row>
    <row r="13" spans="1:3" x14ac:dyDescent="0.3">
      <c r="A13" t="s">
        <v>87</v>
      </c>
      <c r="B13" s="7">
        <v>3163</v>
      </c>
      <c r="C13" s="7">
        <v>6846</v>
      </c>
    </row>
    <row r="14" spans="1:3" x14ac:dyDescent="0.3">
      <c r="A14" t="s">
        <v>88</v>
      </c>
      <c r="B14" s="7">
        <v>594</v>
      </c>
      <c r="C14" s="7">
        <v>-1762</v>
      </c>
    </row>
    <row r="15" spans="1:3" x14ac:dyDescent="0.3">
      <c r="A15" t="s">
        <v>89</v>
      </c>
      <c r="B15" s="7">
        <v>5585</v>
      </c>
      <c r="C15" s="7">
        <v>4944</v>
      </c>
    </row>
    <row r="16" spans="1:3" x14ac:dyDescent="0.3">
      <c r="A16" t="s">
        <v>90</v>
      </c>
      <c r="B16" s="7">
        <v>1254</v>
      </c>
      <c r="C16" s="7">
        <v>1129</v>
      </c>
    </row>
    <row r="17" spans="1:3" x14ac:dyDescent="0.3">
      <c r="A17" t="s">
        <v>91</v>
      </c>
      <c r="B17" s="7">
        <v>1151</v>
      </c>
      <c r="C17" s="7">
        <v>990</v>
      </c>
    </row>
    <row r="18" spans="1:3" x14ac:dyDescent="0.3">
      <c r="A18" t="s">
        <v>92</v>
      </c>
      <c r="B18" s="7">
        <v>15329</v>
      </c>
      <c r="C18" s="7">
        <v>11844</v>
      </c>
    </row>
    <row r="19" spans="1:3" x14ac:dyDescent="0.3">
      <c r="A19" s="8" t="s">
        <v>462</v>
      </c>
      <c r="B19" s="9">
        <v>64649</v>
      </c>
      <c r="C19" s="9">
        <v>53021</v>
      </c>
    </row>
    <row r="20" spans="1:3" x14ac:dyDescent="0.3">
      <c r="A20" s="8" t="s">
        <v>94</v>
      </c>
      <c r="B20" s="9">
        <v>12975</v>
      </c>
      <c r="C20" s="9">
        <v>10574</v>
      </c>
    </row>
    <row r="21" spans="1:3" x14ac:dyDescent="0.3">
      <c r="A21" s="6" t="s">
        <v>95</v>
      </c>
    </row>
    <row r="22" spans="1:3" x14ac:dyDescent="0.3">
      <c r="A22" t="s">
        <v>96</v>
      </c>
      <c r="B22" s="7">
        <v>2501</v>
      </c>
      <c r="C22" s="7">
        <v>2411</v>
      </c>
    </row>
    <row r="23" spans="1:3" x14ac:dyDescent="0.3">
      <c r="A23" t="s">
        <v>97</v>
      </c>
      <c r="B23" s="7">
        <v>-214</v>
      </c>
      <c r="C23" s="7">
        <v>-14</v>
      </c>
    </row>
    <row r="24" spans="1:3" x14ac:dyDescent="0.3">
      <c r="A24" s="8" t="s">
        <v>98</v>
      </c>
      <c r="B24" s="9">
        <v>2287</v>
      </c>
      <c r="C24" s="9">
        <v>2397</v>
      </c>
    </row>
    <row r="25" spans="1:3" x14ac:dyDescent="0.3">
      <c r="A25" s="8" t="s">
        <v>99</v>
      </c>
      <c r="B25" s="9">
        <v>10688</v>
      </c>
      <c r="C25" s="9">
        <v>8177</v>
      </c>
    </row>
    <row r="26" spans="1:3" x14ac:dyDescent="0.3">
      <c r="A26" s="6" t="s">
        <v>100</v>
      </c>
    </row>
    <row r="27" spans="1:3" x14ac:dyDescent="0.3">
      <c r="A27" t="s">
        <v>380</v>
      </c>
      <c r="B27" s="7">
        <v>9</v>
      </c>
      <c r="C27" s="7">
        <v>-6</v>
      </c>
    </row>
    <row r="28" spans="1:3" x14ac:dyDescent="0.3">
      <c r="A28" t="s">
        <v>381</v>
      </c>
      <c r="B28" s="7">
        <v>-213</v>
      </c>
      <c r="C28" s="7">
        <v>-624</v>
      </c>
    </row>
    <row r="29" spans="1:3" x14ac:dyDescent="0.3">
      <c r="A29" t="s">
        <v>103</v>
      </c>
      <c r="B29" s="7">
        <v>27</v>
      </c>
      <c r="C29" s="7">
        <v>147</v>
      </c>
    </row>
    <row r="30" spans="1:3" x14ac:dyDescent="0.3">
      <c r="A30" s="8" t="s">
        <v>104</v>
      </c>
      <c r="B30" s="9">
        <v>-177</v>
      </c>
      <c r="C30" s="9">
        <v>-483</v>
      </c>
    </row>
    <row r="31" spans="1:3" x14ac:dyDescent="0.3">
      <c r="A31" s="10" t="s">
        <v>105</v>
      </c>
      <c r="B31" s="11">
        <v>10511</v>
      </c>
      <c r="C31" s="11">
        <v>7694</v>
      </c>
    </row>
    <row r="32" spans="1:3" x14ac:dyDescent="0.3">
      <c r="A32" s="6" t="s">
        <v>106</v>
      </c>
    </row>
    <row r="33" spans="1:3" x14ac:dyDescent="0.3">
      <c r="A33" t="s">
        <v>107</v>
      </c>
      <c r="B33" s="7">
        <v>483662163</v>
      </c>
      <c r="C33" s="7">
        <v>483662163</v>
      </c>
    </row>
    <row r="34" spans="1:3" x14ac:dyDescent="0.3">
      <c r="A34" t="s">
        <v>108</v>
      </c>
      <c r="B34" s="7">
        <v>22.1</v>
      </c>
      <c r="C34" s="7">
        <v>16.91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1"/>
  <sheetViews>
    <sheetView workbookViewId="0">
      <pane ySplit="4" topLeftCell="A27" activePane="bottomLeft" state="frozen"/>
      <selection pane="bottomLeft" activeCell="B40" sqref="B40"/>
    </sheetView>
  </sheetViews>
  <sheetFormatPr defaultRowHeight="14.4" x14ac:dyDescent="0.3"/>
  <cols>
    <col min="1" max="1" width="58" customWidth="1"/>
    <col min="2" max="3" width="18" customWidth="1"/>
    <col min="4" max="4" width="4" customWidth="1"/>
  </cols>
  <sheetData>
    <row r="1" spans="1:3" ht="17.399999999999999" x14ac:dyDescent="0.35">
      <c r="A1" s="1" t="s">
        <v>30</v>
      </c>
    </row>
    <row r="2" spans="1:3" x14ac:dyDescent="0.3">
      <c r="A2" s="2" t="s">
        <v>109</v>
      </c>
    </row>
    <row r="3" spans="1:3" x14ac:dyDescent="0.3">
      <c r="A3" s="3" t="s">
        <v>463</v>
      </c>
    </row>
    <row r="4" spans="1:3" x14ac:dyDescent="0.3">
      <c r="A4" s="4" t="s">
        <v>33</v>
      </c>
    </row>
    <row r="6" spans="1:3" x14ac:dyDescent="0.3">
      <c r="A6" s="2" t="s">
        <v>34</v>
      </c>
      <c r="B6" s="5" t="s">
        <v>457</v>
      </c>
      <c r="C6" s="5" t="s">
        <v>376</v>
      </c>
    </row>
    <row r="7" spans="1:3" x14ac:dyDescent="0.3">
      <c r="A7" s="6" t="s">
        <v>111</v>
      </c>
    </row>
    <row r="8" spans="1:3" x14ac:dyDescent="0.3">
      <c r="A8" t="s">
        <v>94</v>
      </c>
      <c r="B8" s="7">
        <v>12975</v>
      </c>
      <c r="C8" s="7">
        <v>10574</v>
      </c>
    </row>
    <row r="9" spans="1:3" x14ac:dyDescent="0.3">
      <c r="A9" t="s">
        <v>112</v>
      </c>
      <c r="B9" s="7">
        <v>1151</v>
      </c>
      <c r="C9" s="7">
        <v>990</v>
      </c>
    </row>
    <row r="10" spans="1:3" x14ac:dyDescent="0.3">
      <c r="A10" t="s">
        <v>113</v>
      </c>
      <c r="B10" s="7">
        <v>1254</v>
      </c>
      <c r="C10" s="7">
        <v>1129</v>
      </c>
    </row>
    <row r="11" spans="1:3" x14ac:dyDescent="0.3">
      <c r="A11" t="s">
        <v>115</v>
      </c>
      <c r="B11" s="7">
        <v>-3258</v>
      </c>
      <c r="C11" s="7">
        <v>-2447</v>
      </c>
    </row>
    <row r="12" spans="1:3" x14ac:dyDescent="0.3">
      <c r="A12" t="s">
        <v>116</v>
      </c>
      <c r="B12" s="7">
        <v>-1397</v>
      </c>
      <c r="C12" s="7">
        <v>-2749</v>
      </c>
    </row>
    <row r="13" spans="1:3" x14ac:dyDescent="0.3">
      <c r="A13" t="s">
        <v>117</v>
      </c>
      <c r="B13" s="7">
        <v>-2206</v>
      </c>
      <c r="C13" s="7">
        <v>0</v>
      </c>
    </row>
    <row r="14" spans="1:3" x14ac:dyDescent="0.3">
      <c r="A14" t="s">
        <v>118</v>
      </c>
      <c r="B14" s="7">
        <v>-13</v>
      </c>
      <c r="C14" s="7">
        <v>-31</v>
      </c>
    </row>
    <row r="15" spans="1:3" x14ac:dyDescent="0.3">
      <c r="A15" t="s">
        <v>119</v>
      </c>
      <c r="B15" s="7">
        <v>102</v>
      </c>
      <c r="C15" s="7">
        <v>-19</v>
      </c>
    </row>
    <row r="16" spans="1:3" x14ac:dyDescent="0.3">
      <c r="A16" t="s">
        <v>120</v>
      </c>
      <c r="B16" s="7">
        <v>-116</v>
      </c>
      <c r="C16" s="7">
        <v>-54</v>
      </c>
    </row>
    <row r="17" spans="1:3" x14ac:dyDescent="0.3">
      <c r="A17" t="s">
        <v>121</v>
      </c>
      <c r="B17" s="7">
        <v>-595</v>
      </c>
      <c r="C17" s="7">
        <v>1181</v>
      </c>
    </row>
    <row r="18" spans="1:3" x14ac:dyDescent="0.3">
      <c r="A18" t="s">
        <v>122</v>
      </c>
      <c r="B18" s="7">
        <v>73</v>
      </c>
      <c r="C18" s="7">
        <v>-397</v>
      </c>
    </row>
    <row r="19" spans="1:3" x14ac:dyDescent="0.3">
      <c r="A19" t="s">
        <v>123</v>
      </c>
      <c r="B19" s="7">
        <v>547</v>
      </c>
      <c r="C19" s="7">
        <v>-2720</v>
      </c>
    </row>
    <row r="20" spans="1:3" x14ac:dyDescent="0.3">
      <c r="A20" t="s">
        <v>124</v>
      </c>
      <c r="B20" s="7">
        <v>870</v>
      </c>
      <c r="C20" s="7">
        <v>-248</v>
      </c>
    </row>
    <row r="21" spans="1:3" x14ac:dyDescent="0.3">
      <c r="A21" s="8" t="s">
        <v>125</v>
      </c>
      <c r="B21" s="9">
        <v>9387</v>
      </c>
      <c r="C21" s="9">
        <v>5209</v>
      </c>
    </row>
    <row r="22" spans="1:3" x14ac:dyDescent="0.3">
      <c r="A22" t="s">
        <v>126</v>
      </c>
      <c r="B22" s="7">
        <v>-2513</v>
      </c>
      <c r="C22" s="7">
        <v>-2088</v>
      </c>
    </row>
    <row r="23" spans="1:3" x14ac:dyDescent="0.3">
      <c r="A23" s="8" t="s">
        <v>127</v>
      </c>
      <c r="B23" s="9">
        <v>6874</v>
      </c>
      <c r="C23" s="9">
        <v>3121</v>
      </c>
    </row>
    <row r="24" spans="1:3" x14ac:dyDescent="0.3">
      <c r="A24" s="6" t="s">
        <v>128</v>
      </c>
    </row>
    <row r="25" spans="1:3" x14ac:dyDescent="0.3">
      <c r="A25" t="s">
        <v>129</v>
      </c>
      <c r="B25" s="7">
        <v>-1662</v>
      </c>
      <c r="C25" s="7">
        <v>-2158</v>
      </c>
    </row>
    <row r="26" spans="1:3" x14ac:dyDescent="0.3">
      <c r="A26" t="s">
        <v>130</v>
      </c>
      <c r="B26" s="7">
        <v>13</v>
      </c>
      <c r="C26" s="7">
        <v>31</v>
      </c>
    </row>
    <row r="27" spans="1:3" x14ac:dyDescent="0.3">
      <c r="A27" t="s">
        <v>131</v>
      </c>
      <c r="B27" s="7">
        <v>-5</v>
      </c>
      <c r="C27" s="7">
        <v>-255</v>
      </c>
    </row>
    <row r="28" spans="1:3" x14ac:dyDescent="0.3">
      <c r="A28" t="s">
        <v>132</v>
      </c>
      <c r="B28" s="7">
        <v>-104256</v>
      </c>
      <c r="C28" s="7">
        <v>-90543</v>
      </c>
    </row>
    <row r="29" spans="1:3" x14ac:dyDescent="0.3">
      <c r="A29" t="s">
        <v>133</v>
      </c>
      <c r="B29" s="7">
        <v>-335</v>
      </c>
      <c r="C29" s="7">
        <v>-75</v>
      </c>
    </row>
    <row r="30" spans="1:3" x14ac:dyDescent="0.3">
      <c r="A30" t="s">
        <v>134</v>
      </c>
      <c r="B30" s="7">
        <v>95771</v>
      </c>
      <c r="C30" s="7">
        <v>87684</v>
      </c>
    </row>
    <row r="31" spans="1:3" x14ac:dyDescent="0.3">
      <c r="A31" t="s">
        <v>135</v>
      </c>
      <c r="B31" s="7">
        <v>2217</v>
      </c>
      <c r="C31" s="7">
        <v>450</v>
      </c>
    </row>
    <row r="32" spans="1:3" x14ac:dyDescent="0.3">
      <c r="A32" t="s">
        <v>136</v>
      </c>
      <c r="B32" s="7">
        <v>-572</v>
      </c>
      <c r="C32" s="7">
        <v>-1659</v>
      </c>
    </row>
    <row r="33" spans="1:3" x14ac:dyDescent="0.3">
      <c r="A33" t="s">
        <v>137</v>
      </c>
      <c r="B33" s="7">
        <v>-3313</v>
      </c>
      <c r="C33" s="7">
        <v>-2136</v>
      </c>
    </row>
    <row r="34" spans="1:3" x14ac:dyDescent="0.3">
      <c r="A34" t="s">
        <v>138</v>
      </c>
      <c r="B34" s="7">
        <v>0</v>
      </c>
      <c r="C34" s="7">
        <v>3518</v>
      </c>
    </row>
    <row r="35" spans="1:3" x14ac:dyDescent="0.3">
      <c r="A35" t="s">
        <v>139</v>
      </c>
      <c r="B35" s="7">
        <v>2460</v>
      </c>
      <c r="C35" s="7">
        <v>2077</v>
      </c>
    </row>
    <row r="36" spans="1:3" x14ac:dyDescent="0.3">
      <c r="A36" s="8" t="s">
        <v>140</v>
      </c>
      <c r="B36" s="9">
        <v>-9682</v>
      </c>
      <c r="C36" s="9">
        <v>-3066</v>
      </c>
    </row>
    <row r="37" spans="1:3" x14ac:dyDescent="0.3">
      <c r="A37" s="6" t="s">
        <v>141</v>
      </c>
    </row>
    <row r="38" spans="1:3" x14ac:dyDescent="0.3">
      <c r="A38" t="s">
        <v>142</v>
      </c>
      <c r="B38" s="7">
        <v>-1242</v>
      </c>
      <c r="C38" s="7">
        <v>-1114</v>
      </c>
    </row>
    <row r="39" spans="1:3" x14ac:dyDescent="0.3">
      <c r="A39" t="s">
        <v>143</v>
      </c>
      <c r="B39" s="7">
        <v>5520</v>
      </c>
      <c r="C39" s="7">
        <v>11326</v>
      </c>
    </row>
    <row r="40" spans="1:3" x14ac:dyDescent="0.3">
      <c r="A40" t="s">
        <v>144</v>
      </c>
      <c r="B40" s="7">
        <v>-101</v>
      </c>
      <c r="C40" s="7">
        <v>-90</v>
      </c>
    </row>
    <row r="41" spans="1:3" x14ac:dyDescent="0.3">
      <c r="A41" t="s">
        <v>145</v>
      </c>
      <c r="B41" s="7">
        <v>-2514</v>
      </c>
      <c r="C41" s="7">
        <v>-9090</v>
      </c>
    </row>
    <row r="42" spans="1:3" x14ac:dyDescent="0.3">
      <c r="A42" s="8" t="s">
        <v>146</v>
      </c>
      <c r="B42" s="9">
        <v>1663</v>
      </c>
      <c r="C42" s="9">
        <v>1032</v>
      </c>
    </row>
    <row r="43" spans="1:3" x14ac:dyDescent="0.3">
      <c r="A43" s="8" t="s">
        <v>147</v>
      </c>
      <c r="B43" s="9">
        <v>-1145</v>
      </c>
      <c r="C43" s="9">
        <v>1088</v>
      </c>
    </row>
    <row r="44" spans="1:3" x14ac:dyDescent="0.3">
      <c r="A44" t="s">
        <v>148</v>
      </c>
      <c r="B44" s="7">
        <v>2742</v>
      </c>
      <c r="C44" s="7">
        <v>1654</v>
      </c>
    </row>
    <row r="45" spans="1:3" x14ac:dyDescent="0.3">
      <c r="A45" s="10" t="s">
        <v>149</v>
      </c>
      <c r="B45" s="11">
        <v>1597</v>
      </c>
      <c r="C45" s="11">
        <v>2742</v>
      </c>
    </row>
    <row r="46" spans="1:3" x14ac:dyDescent="0.3">
      <c r="A46" s="6" t="s">
        <v>150</v>
      </c>
    </row>
    <row r="47" spans="1:3" x14ac:dyDescent="0.3">
      <c r="A47" t="s">
        <v>151</v>
      </c>
      <c r="B47" s="7">
        <v>262</v>
      </c>
      <c r="C47" s="7">
        <v>1390</v>
      </c>
    </row>
    <row r="48" spans="1:3" x14ac:dyDescent="0.3">
      <c r="A48" t="s">
        <v>152</v>
      </c>
      <c r="B48" s="7">
        <v>0</v>
      </c>
      <c r="C48" s="7">
        <v>120</v>
      </c>
    </row>
    <row r="49" spans="1:3" x14ac:dyDescent="0.3">
      <c r="A49" t="s">
        <v>153</v>
      </c>
      <c r="B49" s="7">
        <v>1184</v>
      </c>
      <c r="C49" s="7">
        <v>1214</v>
      </c>
    </row>
    <row r="50" spans="1:3" x14ac:dyDescent="0.3">
      <c r="A50" t="s">
        <v>154</v>
      </c>
      <c r="B50" s="7">
        <v>151</v>
      </c>
      <c r="C50" s="7">
        <v>18</v>
      </c>
    </row>
    <row r="51" spans="1:3" x14ac:dyDescent="0.3">
      <c r="A51" t="s">
        <v>155</v>
      </c>
      <c r="B51" s="7">
        <v>0</v>
      </c>
      <c r="C51" s="7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18"/>
  <sheetViews>
    <sheetView workbookViewId="0">
      <pane ySplit="3" topLeftCell="A262" activePane="bottomLeft" state="frozen"/>
      <selection pane="bottomLeft" activeCell="A275" sqref="A275:C279"/>
    </sheetView>
  </sheetViews>
  <sheetFormatPr defaultRowHeight="14.4" x14ac:dyDescent="0.3"/>
  <cols>
    <col min="1" max="1" width="99.44140625" bestFit="1" customWidth="1"/>
    <col min="2" max="3" width="18" customWidth="1"/>
    <col min="4" max="4" width="4" customWidth="1"/>
  </cols>
  <sheetData>
    <row r="1" spans="1:3" ht="17.399999999999999" x14ac:dyDescent="0.35">
      <c r="A1" s="1" t="s">
        <v>30</v>
      </c>
    </row>
    <row r="2" spans="1:3" x14ac:dyDescent="0.3">
      <c r="A2" s="2" t="s">
        <v>156</v>
      </c>
    </row>
    <row r="3" spans="1:3" x14ac:dyDescent="0.3">
      <c r="A3" s="3" t="s">
        <v>464</v>
      </c>
    </row>
    <row r="4" spans="1:3" x14ac:dyDescent="0.3">
      <c r="A4" s="4" t="s">
        <v>33</v>
      </c>
    </row>
    <row r="6" spans="1:3" x14ac:dyDescent="0.3">
      <c r="A6" s="2" t="s">
        <v>158</v>
      </c>
    </row>
    <row r="7" spans="1:3" x14ac:dyDescent="0.3">
      <c r="A7" s="2"/>
      <c r="B7" s="5" t="s">
        <v>457</v>
      </c>
      <c r="C7" s="5" t="s">
        <v>376</v>
      </c>
    </row>
    <row r="8" spans="1:3" x14ac:dyDescent="0.3">
      <c r="A8" t="s">
        <v>159</v>
      </c>
      <c r="B8" s="7">
        <v>425</v>
      </c>
      <c r="C8" s="7">
        <v>491</v>
      </c>
    </row>
    <row r="9" spans="1:3" x14ac:dyDescent="0.3">
      <c r="A9" t="s">
        <v>160</v>
      </c>
      <c r="B9" s="7">
        <v>3803</v>
      </c>
      <c r="C9" s="7">
        <v>3708</v>
      </c>
    </row>
    <row r="10" spans="1:3" x14ac:dyDescent="0.3">
      <c r="A10" t="s">
        <v>161</v>
      </c>
      <c r="B10" s="7">
        <v>5287</v>
      </c>
      <c r="C10" s="7">
        <v>4525</v>
      </c>
    </row>
    <row r="11" spans="1:3" x14ac:dyDescent="0.3">
      <c r="A11" t="s">
        <v>162</v>
      </c>
      <c r="B11" s="7">
        <v>149</v>
      </c>
      <c r="C11" s="7">
        <v>70</v>
      </c>
    </row>
    <row r="12" spans="1:3" x14ac:dyDescent="0.3">
      <c r="A12" t="s">
        <v>163</v>
      </c>
      <c r="B12" s="7">
        <v>122</v>
      </c>
      <c r="C12" s="7">
        <v>100</v>
      </c>
    </row>
    <row r="13" spans="1:3" x14ac:dyDescent="0.3">
      <c r="A13" t="s">
        <v>164</v>
      </c>
      <c r="B13" s="7">
        <v>7</v>
      </c>
      <c r="C13" s="7">
        <v>3</v>
      </c>
    </row>
    <row r="14" spans="1:3" x14ac:dyDescent="0.3">
      <c r="A14" s="8" t="s">
        <v>165</v>
      </c>
      <c r="B14" s="9">
        <v>9793</v>
      </c>
      <c r="C14" s="9">
        <v>8897</v>
      </c>
    </row>
    <row r="16" spans="1:3" x14ac:dyDescent="0.3">
      <c r="A16" s="2" t="s">
        <v>385</v>
      </c>
    </row>
    <row r="17" spans="1:3" x14ac:dyDescent="0.3">
      <c r="A17" s="2"/>
      <c r="B17" s="5" t="s">
        <v>457</v>
      </c>
      <c r="C17" s="5" t="s">
        <v>376</v>
      </c>
    </row>
    <row r="18" spans="1:3" x14ac:dyDescent="0.3">
      <c r="A18" t="s">
        <v>386</v>
      </c>
      <c r="B18" s="7">
        <v>284</v>
      </c>
      <c r="C18" s="7">
        <v>756</v>
      </c>
    </row>
    <row r="19" spans="1:3" x14ac:dyDescent="0.3">
      <c r="A19" t="s">
        <v>387</v>
      </c>
      <c r="B19" s="7">
        <v>16</v>
      </c>
      <c r="C19" s="7">
        <v>419</v>
      </c>
    </row>
    <row r="20" spans="1:3" x14ac:dyDescent="0.3">
      <c r="A20" t="s">
        <v>388</v>
      </c>
      <c r="B20" s="7">
        <v>4</v>
      </c>
      <c r="C20" s="7">
        <v>22</v>
      </c>
    </row>
    <row r="21" spans="1:3" x14ac:dyDescent="0.3">
      <c r="A21" t="s">
        <v>389</v>
      </c>
      <c r="B21" s="7">
        <v>0</v>
      </c>
      <c r="C21" s="7">
        <v>3</v>
      </c>
    </row>
    <row r="22" spans="1:3" x14ac:dyDescent="0.3">
      <c r="A22" s="8" t="s">
        <v>390</v>
      </c>
      <c r="B22" s="9">
        <v>304</v>
      </c>
      <c r="C22" s="9">
        <v>1200</v>
      </c>
    </row>
    <row r="24" spans="1:3" x14ac:dyDescent="0.3">
      <c r="A24" s="2" t="s">
        <v>391</v>
      </c>
    </row>
    <row r="25" spans="1:3" x14ac:dyDescent="0.3">
      <c r="A25" s="2"/>
      <c r="B25" s="5" t="s">
        <v>457</v>
      </c>
      <c r="C25" s="5" t="s">
        <v>376</v>
      </c>
    </row>
    <row r="26" spans="1:3" x14ac:dyDescent="0.3">
      <c r="A26" t="s">
        <v>159</v>
      </c>
      <c r="B26" s="7">
        <v>699</v>
      </c>
      <c r="C26" s="7">
        <v>675</v>
      </c>
    </row>
    <row r="27" spans="1:3" x14ac:dyDescent="0.3">
      <c r="A27" t="s">
        <v>160</v>
      </c>
      <c r="B27" s="7">
        <v>96</v>
      </c>
      <c r="C27" s="7">
        <v>123</v>
      </c>
    </row>
    <row r="28" spans="1:3" x14ac:dyDescent="0.3">
      <c r="A28" t="s">
        <v>162</v>
      </c>
      <c r="B28" s="7">
        <v>1</v>
      </c>
      <c r="C28" s="7">
        <v>7</v>
      </c>
    </row>
    <row r="29" spans="1:3" x14ac:dyDescent="0.3">
      <c r="A29" t="s">
        <v>164</v>
      </c>
      <c r="B29" s="7">
        <v>4</v>
      </c>
      <c r="C29" s="7">
        <v>2</v>
      </c>
    </row>
    <row r="30" spans="1:3" x14ac:dyDescent="0.3">
      <c r="A30" s="8" t="s">
        <v>165</v>
      </c>
      <c r="B30" s="9">
        <v>800</v>
      </c>
      <c r="C30" s="9">
        <v>807</v>
      </c>
    </row>
    <row r="32" spans="1:3" x14ac:dyDescent="0.3">
      <c r="A32" s="2" t="s">
        <v>392</v>
      </c>
    </row>
    <row r="33" spans="1:3" x14ac:dyDescent="0.3">
      <c r="A33" s="2"/>
      <c r="B33" s="5" t="s">
        <v>457</v>
      </c>
      <c r="C33" s="5" t="s">
        <v>376</v>
      </c>
    </row>
    <row r="34" spans="1:3" x14ac:dyDescent="0.3">
      <c r="A34" t="s">
        <v>169</v>
      </c>
      <c r="B34" s="7">
        <v>362</v>
      </c>
      <c r="C34" s="7">
        <v>497</v>
      </c>
    </row>
    <row r="35" spans="1:3" x14ac:dyDescent="0.3">
      <c r="A35" t="s">
        <v>465</v>
      </c>
      <c r="B35" s="7">
        <v>0</v>
      </c>
      <c r="C35" s="7">
        <v>-135</v>
      </c>
    </row>
    <row r="36" spans="1:3" x14ac:dyDescent="0.3">
      <c r="A36" s="8" t="s">
        <v>171</v>
      </c>
      <c r="B36" s="9">
        <v>362</v>
      </c>
      <c r="C36" s="9">
        <v>362</v>
      </c>
    </row>
    <row r="37" spans="1:3" x14ac:dyDescent="0.3">
      <c r="A37" s="4" t="s">
        <v>466</v>
      </c>
    </row>
    <row r="39" spans="1:3" x14ac:dyDescent="0.3">
      <c r="A39" s="2" t="s">
        <v>467</v>
      </c>
    </row>
    <row r="40" spans="1:3" x14ac:dyDescent="0.3">
      <c r="A40" s="2"/>
      <c r="B40" s="5" t="s">
        <v>457</v>
      </c>
      <c r="C40" s="5" t="s">
        <v>376</v>
      </c>
    </row>
    <row r="41" spans="1:3" x14ac:dyDescent="0.3">
      <c r="A41" t="s">
        <v>468</v>
      </c>
      <c r="B41" s="7">
        <v>28133</v>
      </c>
      <c r="C41" s="7">
        <v>28071</v>
      </c>
    </row>
    <row r="42" spans="1:3" x14ac:dyDescent="0.3">
      <c r="A42" t="s">
        <v>469</v>
      </c>
      <c r="B42" s="7">
        <v>2140</v>
      </c>
      <c r="C42" s="7">
        <v>1983</v>
      </c>
    </row>
    <row r="43" spans="1:3" x14ac:dyDescent="0.3">
      <c r="A43" t="s">
        <v>470</v>
      </c>
      <c r="B43" s="7">
        <v>735</v>
      </c>
      <c r="C43" s="7">
        <v>741</v>
      </c>
    </row>
    <row r="44" spans="1:3" x14ac:dyDescent="0.3">
      <c r="A44" t="s">
        <v>471</v>
      </c>
      <c r="B44" s="7">
        <v>595</v>
      </c>
      <c r="C44" s="7">
        <v>515</v>
      </c>
    </row>
    <row r="45" spans="1:3" x14ac:dyDescent="0.3">
      <c r="A45" t="s">
        <v>472</v>
      </c>
      <c r="B45" s="7">
        <v>604</v>
      </c>
      <c r="C45" s="7">
        <v>524</v>
      </c>
    </row>
    <row r="46" spans="1:3" x14ac:dyDescent="0.3">
      <c r="A46" t="s">
        <v>473</v>
      </c>
      <c r="B46" s="7">
        <v>1</v>
      </c>
      <c r="C46" s="7">
        <v>1</v>
      </c>
    </row>
    <row r="47" spans="1:3" x14ac:dyDescent="0.3">
      <c r="A47" t="s">
        <v>474</v>
      </c>
      <c r="B47" s="7">
        <v>257</v>
      </c>
      <c r="C47" s="7">
        <v>0</v>
      </c>
    </row>
    <row r="48" spans="1:3" x14ac:dyDescent="0.3">
      <c r="A48" t="s">
        <v>475</v>
      </c>
      <c r="B48" s="7">
        <v>950</v>
      </c>
      <c r="C48" s="7">
        <v>950</v>
      </c>
    </row>
    <row r="49" spans="1:3" x14ac:dyDescent="0.3">
      <c r="A49" s="8" t="s">
        <v>476</v>
      </c>
      <c r="B49" s="9">
        <v>33415</v>
      </c>
      <c r="C49" s="9">
        <v>32785</v>
      </c>
    </row>
    <row r="50" spans="1:3" x14ac:dyDescent="0.3">
      <c r="A50" t="s">
        <v>477</v>
      </c>
      <c r="B50" s="7">
        <v>34294</v>
      </c>
      <c r="C50" s="7">
        <v>34618</v>
      </c>
    </row>
    <row r="51" spans="1:3" x14ac:dyDescent="0.3">
      <c r="A51" t="s">
        <v>478</v>
      </c>
      <c r="B51" s="7">
        <v>2108</v>
      </c>
      <c r="C51" s="7">
        <v>2185</v>
      </c>
    </row>
    <row r="52" spans="1:3" x14ac:dyDescent="0.3">
      <c r="A52" t="s">
        <v>479</v>
      </c>
      <c r="B52" s="7">
        <v>50</v>
      </c>
      <c r="C52" s="7">
        <v>0</v>
      </c>
    </row>
    <row r="53" spans="1:3" x14ac:dyDescent="0.3">
      <c r="A53" t="s">
        <v>480</v>
      </c>
      <c r="B53" s="7">
        <v>30662</v>
      </c>
      <c r="C53" s="7">
        <v>18168</v>
      </c>
    </row>
    <row r="54" spans="1:3" x14ac:dyDescent="0.3">
      <c r="A54" s="8" t="s">
        <v>481</v>
      </c>
      <c r="B54" s="9">
        <v>67114</v>
      </c>
      <c r="C54" s="9">
        <v>54971</v>
      </c>
    </row>
    <row r="55" spans="1:3" x14ac:dyDescent="0.3">
      <c r="A55" t="s">
        <v>187</v>
      </c>
      <c r="B55" s="7">
        <v>32820</v>
      </c>
      <c r="C55" s="7">
        <v>20353</v>
      </c>
    </row>
    <row r="56" spans="1:3" x14ac:dyDescent="0.3">
      <c r="A56" t="s">
        <v>188</v>
      </c>
      <c r="B56" s="7">
        <v>67709</v>
      </c>
      <c r="C56" s="7">
        <v>67405</v>
      </c>
    </row>
    <row r="57" spans="1:3" x14ac:dyDescent="0.3">
      <c r="A57" t="s">
        <v>189</v>
      </c>
      <c r="B57" s="7">
        <v>0</v>
      </c>
      <c r="C57" s="7">
        <v>0</v>
      </c>
    </row>
    <row r="59" spans="1:3" x14ac:dyDescent="0.3">
      <c r="A59" s="2" t="s">
        <v>482</v>
      </c>
    </row>
    <row r="60" spans="1:3" x14ac:dyDescent="0.3">
      <c r="A60" s="2"/>
      <c r="B60" s="5" t="s">
        <v>457</v>
      </c>
      <c r="C60" s="5" t="s">
        <v>376</v>
      </c>
    </row>
    <row r="61" spans="1:3" x14ac:dyDescent="0.3">
      <c r="A61" t="s">
        <v>192</v>
      </c>
      <c r="B61" s="7">
        <v>15048</v>
      </c>
      <c r="C61" s="7">
        <v>17366</v>
      </c>
    </row>
    <row r="62" spans="1:3" x14ac:dyDescent="0.3">
      <c r="A62" t="s">
        <v>406</v>
      </c>
      <c r="B62" s="7">
        <v>5324</v>
      </c>
      <c r="C62" s="7">
        <v>251</v>
      </c>
    </row>
    <row r="64" spans="1:3" x14ac:dyDescent="0.3">
      <c r="A64" s="2" t="s">
        <v>407</v>
      </c>
    </row>
    <row r="65" spans="1:3" x14ac:dyDescent="0.3">
      <c r="A65" s="2"/>
      <c r="B65" s="5" t="s">
        <v>457</v>
      </c>
      <c r="C65" s="5" t="s">
        <v>376</v>
      </c>
    </row>
    <row r="66" spans="1:3" x14ac:dyDescent="0.3">
      <c r="A66" t="s">
        <v>191</v>
      </c>
      <c r="B66" s="7">
        <v>4</v>
      </c>
      <c r="C66" s="7">
        <v>18</v>
      </c>
    </row>
    <row r="67" spans="1:3" x14ac:dyDescent="0.3">
      <c r="A67" t="s">
        <v>207</v>
      </c>
      <c r="B67" s="7">
        <v>0</v>
      </c>
      <c r="C67" s="7">
        <v>40</v>
      </c>
    </row>
    <row r="68" spans="1:3" x14ac:dyDescent="0.3">
      <c r="A68" s="8" t="s">
        <v>193</v>
      </c>
      <c r="B68" s="9">
        <v>4</v>
      </c>
      <c r="C68" s="9">
        <v>58</v>
      </c>
    </row>
    <row r="69" spans="1:3" x14ac:dyDescent="0.3">
      <c r="A69" t="s">
        <v>194</v>
      </c>
      <c r="B69" s="7">
        <v>123</v>
      </c>
      <c r="C69" s="7">
        <v>100</v>
      </c>
    </row>
    <row r="70" spans="1:3" x14ac:dyDescent="0.3">
      <c r="A70" t="s">
        <v>201</v>
      </c>
      <c r="B70" s="7">
        <v>638</v>
      </c>
      <c r="C70" s="7">
        <v>530</v>
      </c>
    </row>
    <row r="71" spans="1:3" x14ac:dyDescent="0.3">
      <c r="A71" t="s">
        <v>202</v>
      </c>
      <c r="B71" s="7">
        <v>16</v>
      </c>
      <c r="C71" s="7">
        <v>7</v>
      </c>
    </row>
    <row r="72" spans="1:3" x14ac:dyDescent="0.3">
      <c r="A72" t="s">
        <v>196</v>
      </c>
      <c r="B72" s="7">
        <v>656</v>
      </c>
      <c r="C72" s="7">
        <v>663</v>
      </c>
    </row>
    <row r="73" spans="1:3" x14ac:dyDescent="0.3">
      <c r="A73" t="s">
        <v>483</v>
      </c>
      <c r="B73" s="7">
        <v>500</v>
      </c>
      <c r="C73" s="7">
        <v>0</v>
      </c>
    </row>
    <row r="74" spans="1:3" x14ac:dyDescent="0.3">
      <c r="A74" t="s">
        <v>408</v>
      </c>
      <c r="B74" s="7">
        <v>84</v>
      </c>
      <c r="C74" s="7">
        <v>13</v>
      </c>
    </row>
    <row r="75" spans="1:3" x14ac:dyDescent="0.3">
      <c r="A75" s="8" t="s">
        <v>197</v>
      </c>
      <c r="B75" s="9">
        <v>2017</v>
      </c>
      <c r="C75" s="9">
        <v>1313</v>
      </c>
    </row>
    <row r="77" spans="1:3" x14ac:dyDescent="0.3">
      <c r="A77" s="2" t="s">
        <v>409</v>
      </c>
    </row>
    <row r="78" spans="1:3" x14ac:dyDescent="0.3">
      <c r="A78" s="2"/>
      <c r="B78" s="5" t="s">
        <v>457</v>
      </c>
      <c r="C78" s="5" t="s">
        <v>376</v>
      </c>
    </row>
    <row r="79" spans="1:3" x14ac:dyDescent="0.3">
      <c r="A79" t="s">
        <v>205</v>
      </c>
      <c r="B79" s="7">
        <v>72</v>
      </c>
      <c r="C79" s="7">
        <v>128</v>
      </c>
    </row>
    <row r="80" spans="1:3" x14ac:dyDescent="0.3">
      <c r="A80" t="s">
        <v>206</v>
      </c>
      <c r="B80" s="7">
        <v>5</v>
      </c>
      <c r="C80" s="7">
        <v>7</v>
      </c>
    </row>
    <row r="81" spans="1:3" x14ac:dyDescent="0.3">
      <c r="A81" t="s">
        <v>484</v>
      </c>
      <c r="B81" s="7">
        <v>21</v>
      </c>
      <c r="C81" s="7">
        <v>0</v>
      </c>
    </row>
    <row r="82" spans="1:3" x14ac:dyDescent="0.3">
      <c r="A82" t="s">
        <v>485</v>
      </c>
      <c r="B82" s="7">
        <v>796</v>
      </c>
      <c r="C82" s="7">
        <v>704</v>
      </c>
    </row>
    <row r="83" spans="1:3" x14ac:dyDescent="0.3">
      <c r="A83" s="8" t="s">
        <v>193</v>
      </c>
      <c r="B83" s="9">
        <v>894</v>
      </c>
      <c r="C83" s="9">
        <v>839</v>
      </c>
    </row>
    <row r="84" spans="1:3" x14ac:dyDescent="0.3">
      <c r="A84" t="s">
        <v>209</v>
      </c>
      <c r="B84" s="7">
        <v>470</v>
      </c>
      <c r="C84" s="7">
        <v>1095</v>
      </c>
    </row>
    <row r="85" spans="1:3" x14ac:dyDescent="0.3">
      <c r="A85" t="s">
        <v>208</v>
      </c>
      <c r="B85" s="7">
        <v>826</v>
      </c>
      <c r="C85" s="7">
        <v>522</v>
      </c>
    </row>
    <row r="86" spans="1:3" x14ac:dyDescent="0.3">
      <c r="A86" t="s">
        <v>210</v>
      </c>
      <c r="B86" s="7">
        <v>201</v>
      </c>
      <c r="C86" s="7">
        <v>233</v>
      </c>
    </row>
    <row r="87" spans="1:3" x14ac:dyDescent="0.3">
      <c r="A87" t="s">
        <v>200</v>
      </c>
      <c r="B87" s="7">
        <v>71</v>
      </c>
      <c r="C87" s="7">
        <v>119</v>
      </c>
    </row>
    <row r="88" spans="1:3" x14ac:dyDescent="0.3">
      <c r="A88" t="s">
        <v>211</v>
      </c>
      <c r="B88" s="7">
        <v>196</v>
      </c>
      <c r="C88" s="7">
        <v>241</v>
      </c>
    </row>
    <row r="89" spans="1:3" x14ac:dyDescent="0.3">
      <c r="A89" s="8" t="s">
        <v>212</v>
      </c>
      <c r="B89" s="9">
        <v>1764</v>
      </c>
      <c r="C89" s="9">
        <v>2210</v>
      </c>
    </row>
    <row r="90" spans="1:3" x14ac:dyDescent="0.3">
      <c r="A90" t="s">
        <v>486</v>
      </c>
      <c r="B90" s="7">
        <v>53</v>
      </c>
      <c r="C90" s="7">
        <v>0</v>
      </c>
    </row>
    <row r="92" spans="1:3" x14ac:dyDescent="0.3">
      <c r="A92" s="2" t="s">
        <v>410</v>
      </c>
    </row>
    <row r="93" spans="1:3" x14ac:dyDescent="0.3">
      <c r="A93" s="2"/>
      <c r="B93" s="5" t="s">
        <v>457</v>
      </c>
      <c r="C93" s="5" t="s">
        <v>376</v>
      </c>
    </row>
    <row r="94" spans="1:3" x14ac:dyDescent="0.3">
      <c r="A94" t="s">
        <v>214</v>
      </c>
      <c r="B94" s="7">
        <v>3047</v>
      </c>
      <c r="C94" s="7">
        <v>3051</v>
      </c>
    </row>
    <row r="95" spans="1:3" x14ac:dyDescent="0.3">
      <c r="A95" t="s">
        <v>215</v>
      </c>
      <c r="B95" s="7">
        <v>2059</v>
      </c>
      <c r="C95" s="7">
        <v>2189</v>
      </c>
    </row>
    <row r="96" spans="1:3" x14ac:dyDescent="0.3">
      <c r="A96" t="s">
        <v>216</v>
      </c>
      <c r="B96" s="7">
        <v>1588</v>
      </c>
      <c r="C96" s="7">
        <v>1256</v>
      </c>
    </row>
    <row r="97" spans="1:3" x14ac:dyDescent="0.3">
      <c r="A97" t="s">
        <v>217</v>
      </c>
      <c r="B97" s="7">
        <v>995</v>
      </c>
      <c r="C97" s="7">
        <v>1791</v>
      </c>
    </row>
    <row r="98" spans="1:3" x14ac:dyDescent="0.3">
      <c r="A98" t="s">
        <v>218</v>
      </c>
      <c r="B98" s="7">
        <v>380</v>
      </c>
      <c r="C98" s="7">
        <v>329</v>
      </c>
    </row>
    <row r="99" spans="1:3" x14ac:dyDescent="0.3">
      <c r="A99" s="8" t="s">
        <v>219</v>
      </c>
      <c r="B99" s="9">
        <v>8069</v>
      </c>
      <c r="C99" s="9">
        <v>8616</v>
      </c>
    </row>
    <row r="101" spans="1:3" x14ac:dyDescent="0.3">
      <c r="A101" s="2" t="s">
        <v>411</v>
      </c>
    </row>
    <row r="102" spans="1:3" x14ac:dyDescent="0.3">
      <c r="A102" s="2"/>
      <c r="B102" s="5" t="s">
        <v>457</v>
      </c>
      <c r="C102" s="5" t="s">
        <v>376</v>
      </c>
    </row>
    <row r="103" spans="1:3" x14ac:dyDescent="0.3">
      <c r="A103" t="s">
        <v>412</v>
      </c>
      <c r="B103" s="7">
        <v>99</v>
      </c>
      <c r="C103" s="7">
        <v>272</v>
      </c>
    </row>
    <row r="104" spans="1:3" x14ac:dyDescent="0.3">
      <c r="A104" t="s">
        <v>413</v>
      </c>
      <c r="B104" s="7">
        <v>7117</v>
      </c>
      <c r="C104" s="7">
        <v>5953</v>
      </c>
    </row>
    <row r="105" spans="1:3" x14ac:dyDescent="0.3">
      <c r="A105" t="s">
        <v>414</v>
      </c>
      <c r="B105" s="7">
        <v>117</v>
      </c>
      <c r="C105" s="7">
        <v>164</v>
      </c>
    </row>
    <row r="106" spans="1:3" x14ac:dyDescent="0.3">
      <c r="A106" t="s">
        <v>415</v>
      </c>
      <c r="B106" s="7">
        <v>-435</v>
      </c>
      <c r="C106" s="7">
        <v>-333</v>
      </c>
    </row>
    <row r="107" spans="1:3" x14ac:dyDescent="0.3">
      <c r="A107" s="8" t="s">
        <v>416</v>
      </c>
      <c r="B107" s="9">
        <v>6799</v>
      </c>
      <c r="C107" s="9">
        <v>5784</v>
      </c>
    </row>
    <row r="108" spans="1:3" x14ac:dyDescent="0.3">
      <c r="A108" t="s">
        <v>225</v>
      </c>
      <c r="B108" s="7">
        <v>333</v>
      </c>
      <c r="C108" s="7">
        <v>352</v>
      </c>
    </row>
    <row r="109" spans="1:3" x14ac:dyDescent="0.3">
      <c r="A109" t="s">
        <v>226</v>
      </c>
      <c r="B109" s="7">
        <v>102</v>
      </c>
      <c r="C109" s="7">
        <v>20</v>
      </c>
    </row>
    <row r="110" spans="1:3" x14ac:dyDescent="0.3">
      <c r="A110" t="s">
        <v>227</v>
      </c>
      <c r="B110" s="7">
        <v>0</v>
      </c>
      <c r="C110" s="7">
        <v>-39</v>
      </c>
    </row>
    <row r="111" spans="1:3" x14ac:dyDescent="0.3">
      <c r="A111" s="8" t="s">
        <v>228</v>
      </c>
      <c r="B111" s="9">
        <v>435</v>
      </c>
      <c r="C111" s="9">
        <v>333</v>
      </c>
    </row>
    <row r="113" spans="1:3" x14ac:dyDescent="0.3">
      <c r="A113" s="2" t="s">
        <v>417</v>
      </c>
    </row>
    <row r="114" spans="1:3" x14ac:dyDescent="0.3">
      <c r="A114" s="2"/>
      <c r="B114" s="5" t="s">
        <v>457</v>
      </c>
      <c r="C114" s="5" t="s">
        <v>376</v>
      </c>
    </row>
    <row r="115" spans="1:3" x14ac:dyDescent="0.3">
      <c r="A115" t="s">
        <v>487</v>
      </c>
      <c r="B115" s="7">
        <v>1</v>
      </c>
      <c r="C115" s="7">
        <v>0</v>
      </c>
    </row>
    <row r="116" spans="1:3" x14ac:dyDescent="0.3">
      <c r="A116" t="s">
        <v>488</v>
      </c>
      <c r="B116" s="7">
        <v>0</v>
      </c>
      <c r="C116" s="7">
        <v>9</v>
      </c>
    </row>
    <row r="118" spans="1:3" x14ac:dyDescent="0.3">
      <c r="A118" s="2" t="s">
        <v>418</v>
      </c>
    </row>
    <row r="119" spans="1:3" x14ac:dyDescent="0.3">
      <c r="A119" s="2"/>
      <c r="B119" s="5" t="s">
        <v>457</v>
      </c>
      <c r="C119" s="5" t="s">
        <v>376</v>
      </c>
    </row>
    <row r="120" spans="1:3" x14ac:dyDescent="0.3">
      <c r="A120" t="s">
        <v>234</v>
      </c>
      <c r="B120" s="7">
        <v>262</v>
      </c>
      <c r="C120" s="7">
        <v>1390</v>
      </c>
    </row>
    <row r="121" spans="1:3" x14ac:dyDescent="0.3">
      <c r="A121" t="s">
        <v>235</v>
      </c>
      <c r="B121" s="7">
        <v>0</v>
      </c>
      <c r="C121" s="7">
        <v>120</v>
      </c>
    </row>
    <row r="122" spans="1:3" x14ac:dyDescent="0.3">
      <c r="A122" t="s">
        <v>153</v>
      </c>
      <c r="B122" s="7">
        <v>1184</v>
      </c>
      <c r="C122" s="7">
        <v>1214</v>
      </c>
    </row>
    <row r="123" spans="1:3" x14ac:dyDescent="0.3">
      <c r="A123" t="s">
        <v>154</v>
      </c>
      <c r="B123" s="7">
        <v>151</v>
      </c>
      <c r="C123" s="7">
        <v>18</v>
      </c>
    </row>
    <row r="124" spans="1:3" x14ac:dyDescent="0.3">
      <c r="A124" s="8" t="s">
        <v>165</v>
      </c>
      <c r="B124" s="9">
        <v>1597</v>
      </c>
      <c r="C124" s="9">
        <v>2742</v>
      </c>
    </row>
    <row r="126" spans="1:3" x14ac:dyDescent="0.3">
      <c r="A126" s="2" t="s">
        <v>423</v>
      </c>
    </row>
    <row r="127" spans="1:3" x14ac:dyDescent="0.3">
      <c r="A127" s="2"/>
      <c r="B127" s="5" t="s">
        <v>457</v>
      </c>
      <c r="C127" s="5" t="s">
        <v>376</v>
      </c>
    </row>
    <row r="128" spans="1:3" x14ac:dyDescent="0.3">
      <c r="A128" t="s">
        <v>424</v>
      </c>
      <c r="B128" s="7">
        <v>12985</v>
      </c>
      <c r="C128" s="7">
        <v>16967</v>
      </c>
    </row>
    <row r="129" spans="1:3" x14ac:dyDescent="0.3">
      <c r="A129" t="s">
        <v>425</v>
      </c>
      <c r="B129" s="7">
        <v>2000</v>
      </c>
      <c r="C129" s="7">
        <v>2000</v>
      </c>
    </row>
    <row r="130" spans="1:3" x14ac:dyDescent="0.3">
      <c r="A130" s="8" t="s">
        <v>193</v>
      </c>
      <c r="B130" s="9">
        <v>14985</v>
      </c>
      <c r="C130" s="9">
        <v>18967</v>
      </c>
    </row>
    <row r="131" spans="1:3" x14ac:dyDescent="0.3">
      <c r="A131" t="s">
        <v>426</v>
      </c>
      <c r="B131" s="7">
        <v>0</v>
      </c>
      <c r="C131" s="7">
        <v>420</v>
      </c>
    </row>
    <row r="132" spans="1:3" x14ac:dyDescent="0.3">
      <c r="A132" t="s">
        <v>489</v>
      </c>
      <c r="B132" s="7">
        <v>4000</v>
      </c>
      <c r="C132" s="7">
        <v>0</v>
      </c>
    </row>
    <row r="133" spans="1:3" x14ac:dyDescent="0.3">
      <c r="A133" s="8" t="s">
        <v>490</v>
      </c>
      <c r="B133" s="9">
        <v>4000</v>
      </c>
      <c r="C133" s="9">
        <v>420</v>
      </c>
    </row>
    <row r="134" spans="1:3" x14ac:dyDescent="0.3">
      <c r="A134" t="s">
        <v>248</v>
      </c>
      <c r="B134" s="7">
        <v>5414</v>
      </c>
      <c r="C134" s="7">
        <v>2442</v>
      </c>
    </row>
    <row r="135" spans="1:3" x14ac:dyDescent="0.3">
      <c r="A135" t="s">
        <v>491</v>
      </c>
      <c r="B135" s="7">
        <v>436</v>
      </c>
      <c r="C135" s="7">
        <v>0</v>
      </c>
    </row>
    <row r="136" spans="1:3" x14ac:dyDescent="0.3">
      <c r="A136" s="8" t="s">
        <v>250</v>
      </c>
      <c r="B136" s="9">
        <v>9850</v>
      </c>
      <c r="C136" s="9">
        <v>2862</v>
      </c>
    </row>
    <row r="138" spans="1:3" x14ac:dyDescent="0.3">
      <c r="A138" s="2" t="s">
        <v>427</v>
      </c>
    </row>
    <row r="139" spans="1:3" x14ac:dyDescent="0.3">
      <c r="A139" s="2"/>
      <c r="B139" s="5" t="s">
        <v>457</v>
      </c>
      <c r="C139" s="5" t="s">
        <v>376</v>
      </c>
    </row>
    <row r="140" spans="1:3" x14ac:dyDescent="0.3">
      <c r="A140" t="s">
        <v>252</v>
      </c>
      <c r="B140" s="7">
        <v>10</v>
      </c>
      <c r="C140" s="7">
        <v>75</v>
      </c>
    </row>
    <row r="141" spans="1:3" x14ac:dyDescent="0.3">
      <c r="A141" t="s">
        <v>253</v>
      </c>
      <c r="B141" s="7">
        <v>50</v>
      </c>
      <c r="C141" s="7">
        <v>65</v>
      </c>
    </row>
    <row r="142" spans="1:3" x14ac:dyDescent="0.3">
      <c r="A142" t="s">
        <v>254</v>
      </c>
      <c r="B142" s="7">
        <v>148</v>
      </c>
      <c r="C142" s="7">
        <v>95</v>
      </c>
    </row>
    <row r="143" spans="1:3" x14ac:dyDescent="0.3">
      <c r="A143" t="s">
        <v>492</v>
      </c>
      <c r="B143" s="7">
        <v>1</v>
      </c>
      <c r="C143" s="7">
        <v>1</v>
      </c>
    </row>
    <row r="144" spans="1:3" x14ac:dyDescent="0.3">
      <c r="A144" s="8" t="s">
        <v>197</v>
      </c>
      <c r="B144" s="9">
        <v>199</v>
      </c>
      <c r="C144" s="9">
        <v>161</v>
      </c>
    </row>
    <row r="146" spans="1:3" x14ac:dyDescent="0.3">
      <c r="A146" s="2" t="s">
        <v>428</v>
      </c>
    </row>
    <row r="147" spans="1:3" x14ac:dyDescent="0.3">
      <c r="A147" s="2"/>
      <c r="B147" s="5" t="s">
        <v>457</v>
      </c>
      <c r="C147" s="5" t="s">
        <v>376</v>
      </c>
    </row>
    <row r="148" spans="1:3" x14ac:dyDescent="0.3">
      <c r="A148" t="s">
        <v>257</v>
      </c>
      <c r="B148" s="7">
        <v>750</v>
      </c>
      <c r="C148" s="7">
        <v>1103</v>
      </c>
    </row>
    <row r="149" spans="1:3" x14ac:dyDescent="0.3">
      <c r="A149" t="s">
        <v>258</v>
      </c>
      <c r="B149" s="7">
        <v>275</v>
      </c>
      <c r="C149" s="7">
        <v>269</v>
      </c>
    </row>
    <row r="150" spans="1:3" x14ac:dyDescent="0.3">
      <c r="A150" t="s">
        <v>259</v>
      </c>
      <c r="B150" s="7">
        <v>628</v>
      </c>
      <c r="C150" s="7">
        <v>630</v>
      </c>
    </row>
    <row r="151" spans="1:3" x14ac:dyDescent="0.3">
      <c r="A151" t="s">
        <v>408</v>
      </c>
      <c r="B151" s="7">
        <v>53</v>
      </c>
      <c r="C151" s="7">
        <v>0</v>
      </c>
    </row>
    <row r="152" spans="1:3" x14ac:dyDescent="0.3">
      <c r="A152" s="8" t="s">
        <v>197</v>
      </c>
      <c r="B152" s="9">
        <v>1706</v>
      </c>
      <c r="C152" s="9">
        <v>2002</v>
      </c>
    </row>
    <row r="154" spans="1:3" x14ac:dyDescent="0.3">
      <c r="A154" s="2" t="s">
        <v>429</v>
      </c>
    </row>
    <row r="155" spans="1:3" x14ac:dyDescent="0.3">
      <c r="A155" s="2"/>
      <c r="B155" s="5" t="s">
        <v>457</v>
      </c>
      <c r="C155" s="5" t="s">
        <v>376</v>
      </c>
    </row>
    <row r="156" spans="1:3" x14ac:dyDescent="0.3">
      <c r="A156" t="s">
        <v>262</v>
      </c>
      <c r="B156" s="7">
        <v>389</v>
      </c>
      <c r="C156" s="7">
        <v>546</v>
      </c>
    </row>
    <row r="157" spans="1:3" x14ac:dyDescent="0.3">
      <c r="A157" t="s">
        <v>263</v>
      </c>
      <c r="B157" s="7">
        <v>366</v>
      </c>
      <c r="C157" s="7">
        <v>250</v>
      </c>
    </row>
    <row r="158" spans="1:3" x14ac:dyDescent="0.3">
      <c r="A158" t="s">
        <v>264</v>
      </c>
      <c r="B158" s="7">
        <v>247</v>
      </c>
      <c r="C158" s="7">
        <v>513</v>
      </c>
    </row>
    <row r="159" spans="1:3" x14ac:dyDescent="0.3">
      <c r="A159" t="s">
        <v>493</v>
      </c>
      <c r="B159" s="7">
        <v>103</v>
      </c>
      <c r="C159" s="7">
        <v>95</v>
      </c>
    </row>
    <row r="160" spans="1:3" x14ac:dyDescent="0.3">
      <c r="A160" t="s">
        <v>265</v>
      </c>
      <c r="B160" s="7">
        <v>4</v>
      </c>
      <c r="C160" s="7">
        <v>15</v>
      </c>
    </row>
    <row r="161" spans="1:3" x14ac:dyDescent="0.3">
      <c r="A161" s="8" t="s">
        <v>165</v>
      </c>
      <c r="B161" s="9">
        <v>1109</v>
      </c>
      <c r="C161" s="9">
        <v>1419</v>
      </c>
    </row>
    <row r="163" spans="1:3" x14ac:dyDescent="0.3">
      <c r="A163" s="2" t="s">
        <v>430</v>
      </c>
    </row>
    <row r="164" spans="1:3" x14ac:dyDescent="0.3">
      <c r="A164" s="2"/>
      <c r="B164" s="5" t="s">
        <v>457</v>
      </c>
      <c r="C164" s="5" t="s">
        <v>376</v>
      </c>
    </row>
    <row r="165" spans="1:3" x14ac:dyDescent="0.3">
      <c r="A165" t="s">
        <v>494</v>
      </c>
      <c r="B165" s="7">
        <v>9</v>
      </c>
      <c r="C165" s="7">
        <v>0</v>
      </c>
    </row>
    <row r="166" spans="1:3" x14ac:dyDescent="0.3">
      <c r="A166" t="s">
        <v>495</v>
      </c>
      <c r="B166" s="7">
        <v>1562</v>
      </c>
      <c r="C166" s="7">
        <v>338</v>
      </c>
    </row>
    <row r="167" spans="1:3" x14ac:dyDescent="0.3">
      <c r="A167" s="8" t="s">
        <v>193</v>
      </c>
      <c r="B167" s="9">
        <v>1571</v>
      </c>
      <c r="C167" s="9">
        <v>338</v>
      </c>
    </row>
    <row r="168" spans="1:3" x14ac:dyDescent="0.3">
      <c r="A168" t="s">
        <v>488</v>
      </c>
      <c r="B168" s="7">
        <v>516</v>
      </c>
      <c r="C168" s="7">
        <v>0</v>
      </c>
    </row>
    <row r="170" spans="1:3" x14ac:dyDescent="0.3">
      <c r="A170" s="2" t="s">
        <v>431</v>
      </c>
    </row>
    <row r="171" spans="1:3" x14ac:dyDescent="0.3">
      <c r="A171" s="2"/>
      <c r="B171" s="5" t="s">
        <v>457</v>
      </c>
      <c r="C171" s="5" t="s">
        <v>376</v>
      </c>
    </row>
    <row r="172" spans="1:3" x14ac:dyDescent="0.3">
      <c r="A172" t="s">
        <v>268</v>
      </c>
      <c r="B172" s="7">
        <v>1214</v>
      </c>
      <c r="C172" s="7">
        <v>1262</v>
      </c>
    </row>
    <row r="173" spans="1:3" x14ac:dyDescent="0.3">
      <c r="A173" t="s">
        <v>269</v>
      </c>
      <c r="B173" s="7">
        <v>11061</v>
      </c>
      <c r="C173" s="7">
        <v>9716</v>
      </c>
    </row>
    <row r="174" spans="1:3" x14ac:dyDescent="0.3">
      <c r="A174" s="8" t="s">
        <v>165</v>
      </c>
      <c r="B174" s="9">
        <v>12275</v>
      </c>
      <c r="C174" s="9">
        <v>10978</v>
      </c>
    </row>
    <row r="176" spans="1:3" x14ac:dyDescent="0.3">
      <c r="A176" s="2" t="s">
        <v>432</v>
      </c>
    </row>
    <row r="177" spans="1:3" x14ac:dyDescent="0.3">
      <c r="A177" s="2"/>
      <c r="B177" s="5" t="s">
        <v>457</v>
      </c>
      <c r="C177" s="5" t="s">
        <v>376</v>
      </c>
    </row>
    <row r="178" spans="1:3" x14ac:dyDescent="0.3">
      <c r="A178" t="s">
        <v>271</v>
      </c>
      <c r="B178" s="7">
        <v>69518</v>
      </c>
      <c r="C178" s="7">
        <v>57392</v>
      </c>
    </row>
    <row r="179" spans="1:3" x14ac:dyDescent="0.3">
      <c r="A179" t="s">
        <v>272</v>
      </c>
      <c r="B179" s="7">
        <v>143</v>
      </c>
      <c r="C179" s="7">
        <v>176</v>
      </c>
    </row>
    <row r="180" spans="1:3" x14ac:dyDescent="0.3">
      <c r="A180" t="s">
        <v>433</v>
      </c>
      <c r="B180" s="7">
        <v>391</v>
      </c>
      <c r="C180" s="7">
        <v>316</v>
      </c>
    </row>
    <row r="181" spans="1:3" x14ac:dyDescent="0.3">
      <c r="A181" s="8" t="s">
        <v>165</v>
      </c>
      <c r="B181" s="9">
        <v>70052</v>
      </c>
      <c r="C181" s="9">
        <v>57884</v>
      </c>
    </row>
    <row r="182" spans="1:3" x14ac:dyDescent="0.3">
      <c r="A182" s="4" t="s">
        <v>274</v>
      </c>
    </row>
    <row r="183" spans="1:3" x14ac:dyDescent="0.3">
      <c r="A183" t="s">
        <v>275</v>
      </c>
      <c r="B183" s="7">
        <v>27823</v>
      </c>
      <c r="C183" s="7">
        <v>24791</v>
      </c>
    </row>
    <row r="184" spans="1:3" x14ac:dyDescent="0.3">
      <c r="A184" t="s">
        <v>276</v>
      </c>
      <c r="B184" s="7">
        <v>5095</v>
      </c>
      <c r="C184" s="7">
        <v>6133</v>
      </c>
    </row>
    <row r="185" spans="1:3" x14ac:dyDescent="0.3">
      <c r="A185" t="s">
        <v>277</v>
      </c>
      <c r="B185" s="7">
        <v>19343</v>
      </c>
      <c r="C185" s="7">
        <v>12851</v>
      </c>
    </row>
    <row r="186" spans="1:3" x14ac:dyDescent="0.3">
      <c r="A186" t="s">
        <v>278</v>
      </c>
      <c r="B186" s="7">
        <v>6745</v>
      </c>
      <c r="C186" s="7">
        <v>6292</v>
      </c>
    </row>
    <row r="187" spans="1:3" x14ac:dyDescent="0.3">
      <c r="A187" t="s">
        <v>279</v>
      </c>
      <c r="B187" s="7">
        <v>4056</v>
      </c>
      <c r="C187" s="7">
        <v>3289</v>
      </c>
    </row>
    <row r="188" spans="1:3" x14ac:dyDescent="0.3">
      <c r="A188" t="s">
        <v>265</v>
      </c>
      <c r="B188" s="7">
        <v>6456</v>
      </c>
      <c r="C188" s="7">
        <v>4036</v>
      </c>
    </row>
    <row r="189" spans="1:3" x14ac:dyDescent="0.3">
      <c r="A189" s="8" t="s">
        <v>280</v>
      </c>
      <c r="B189" s="9">
        <v>69518</v>
      </c>
      <c r="C189" s="9">
        <v>57392</v>
      </c>
    </row>
    <row r="191" spans="1:3" x14ac:dyDescent="0.3">
      <c r="A191" s="2" t="s">
        <v>434</v>
      </c>
    </row>
    <row r="192" spans="1:3" x14ac:dyDescent="0.3">
      <c r="A192" s="2"/>
      <c r="B192" s="5" t="s">
        <v>457</v>
      </c>
      <c r="C192" s="5" t="s">
        <v>376</v>
      </c>
    </row>
    <row r="193" spans="1:3" x14ac:dyDescent="0.3">
      <c r="A193" t="s">
        <v>282</v>
      </c>
      <c r="B193" s="7">
        <v>3187</v>
      </c>
      <c r="C193" s="7">
        <v>2368</v>
      </c>
    </row>
    <row r="194" spans="1:3" x14ac:dyDescent="0.3">
      <c r="A194" t="s">
        <v>283</v>
      </c>
      <c r="B194" s="7">
        <v>71</v>
      </c>
      <c r="C194" s="7">
        <v>79</v>
      </c>
    </row>
    <row r="195" spans="1:3" x14ac:dyDescent="0.3">
      <c r="A195" t="s">
        <v>496</v>
      </c>
      <c r="B195" s="7">
        <v>1567</v>
      </c>
      <c r="C195" s="7">
        <v>2749</v>
      </c>
    </row>
    <row r="196" spans="1:3" x14ac:dyDescent="0.3">
      <c r="A196" t="s">
        <v>497</v>
      </c>
      <c r="B196" s="7">
        <v>12</v>
      </c>
      <c r="C196" s="7">
        <v>0</v>
      </c>
    </row>
    <row r="197" spans="1:3" x14ac:dyDescent="0.3">
      <c r="A197" t="s">
        <v>286</v>
      </c>
      <c r="B197" s="7">
        <v>13</v>
      </c>
      <c r="C197" s="7">
        <v>31</v>
      </c>
    </row>
    <row r="198" spans="1:3" x14ac:dyDescent="0.3">
      <c r="A198" t="s">
        <v>287</v>
      </c>
      <c r="B198" s="7">
        <v>116</v>
      </c>
      <c r="C198" s="7">
        <v>54</v>
      </c>
    </row>
    <row r="199" spans="1:3" x14ac:dyDescent="0.3">
      <c r="A199" t="s">
        <v>289</v>
      </c>
      <c r="B199" s="7">
        <v>2206</v>
      </c>
      <c r="C199" s="7">
        <v>0</v>
      </c>
    </row>
    <row r="200" spans="1:3" x14ac:dyDescent="0.3">
      <c r="A200" t="s">
        <v>498</v>
      </c>
      <c r="B200" s="7">
        <v>41</v>
      </c>
      <c r="C200" s="7">
        <v>0</v>
      </c>
    </row>
    <row r="201" spans="1:3" x14ac:dyDescent="0.3">
      <c r="A201" t="s">
        <v>499</v>
      </c>
      <c r="B201" s="7">
        <v>192</v>
      </c>
      <c r="C201" s="7">
        <v>175</v>
      </c>
    </row>
    <row r="202" spans="1:3" x14ac:dyDescent="0.3">
      <c r="A202" t="s">
        <v>290</v>
      </c>
      <c r="B202" s="7">
        <v>167</v>
      </c>
      <c r="C202" s="7">
        <v>255</v>
      </c>
    </row>
    <row r="203" spans="1:3" x14ac:dyDescent="0.3">
      <c r="A203" s="8" t="s">
        <v>165</v>
      </c>
      <c r="B203" s="9">
        <v>7572</v>
      </c>
      <c r="C203" s="9">
        <v>5711</v>
      </c>
    </row>
    <row r="205" spans="1:3" x14ac:dyDescent="0.3">
      <c r="A205" s="2" t="s">
        <v>436</v>
      </c>
    </row>
    <row r="206" spans="1:3" x14ac:dyDescent="0.3">
      <c r="A206" s="2"/>
      <c r="B206" s="5" t="s">
        <v>457</v>
      </c>
      <c r="C206" s="5" t="s">
        <v>376</v>
      </c>
    </row>
    <row r="207" spans="1:3" x14ac:dyDescent="0.3">
      <c r="A207" t="s">
        <v>292</v>
      </c>
      <c r="B207" s="7">
        <v>3051</v>
      </c>
      <c r="C207" s="7">
        <v>2101</v>
      </c>
    </row>
    <row r="208" spans="1:3" x14ac:dyDescent="0.3">
      <c r="A208" t="s">
        <v>293</v>
      </c>
      <c r="B208" s="7">
        <v>37569</v>
      </c>
      <c r="C208" s="7">
        <v>29980</v>
      </c>
    </row>
    <row r="209" spans="1:3" x14ac:dyDescent="0.3">
      <c r="A209" t="s">
        <v>294</v>
      </c>
      <c r="B209" s="7">
        <v>3047</v>
      </c>
      <c r="C209" s="7">
        <v>3051</v>
      </c>
    </row>
    <row r="210" spans="1:3" x14ac:dyDescent="0.3">
      <c r="A210" s="8" t="s">
        <v>165</v>
      </c>
      <c r="B210" s="9">
        <v>37573</v>
      </c>
      <c r="C210" s="9">
        <v>29030</v>
      </c>
    </row>
    <row r="211" spans="1:3" x14ac:dyDescent="0.3">
      <c r="A211" s="4" t="s">
        <v>295</v>
      </c>
    </row>
    <row r="212" spans="1:3" x14ac:dyDescent="0.3">
      <c r="A212" t="s">
        <v>296</v>
      </c>
      <c r="B212" s="7">
        <v>9386</v>
      </c>
      <c r="C212" s="7">
        <v>6325</v>
      </c>
    </row>
    <row r="213" spans="1:3" x14ac:dyDescent="0.3">
      <c r="A213" t="s">
        <v>297</v>
      </c>
      <c r="B213" s="7">
        <v>3261</v>
      </c>
      <c r="C213" s="7">
        <v>1918</v>
      </c>
    </row>
    <row r="214" spans="1:3" x14ac:dyDescent="0.3">
      <c r="A214" t="s">
        <v>298</v>
      </c>
      <c r="B214" s="7">
        <v>1095</v>
      </c>
      <c r="C214" s="7">
        <v>623</v>
      </c>
    </row>
    <row r="215" spans="1:3" x14ac:dyDescent="0.3">
      <c r="A215" t="s">
        <v>299</v>
      </c>
      <c r="B215" s="7">
        <v>754</v>
      </c>
      <c r="C215" s="7">
        <v>402</v>
      </c>
    </row>
    <row r="216" spans="1:3" x14ac:dyDescent="0.3">
      <c r="A216" t="s">
        <v>300</v>
      </c>
      <c r="B216" s="7">
        <v>3998</v>
      </c>
      <c r="C216" s="7">
        <v>2102</v>
      </c>
    </row>
    <row r="217" spans="1:3" x14ac:dyDescent="0.3">
      <c r="A217" t="s">
        <v>301</v>
      </c>
      <c r="B217" s="7">
        <v>1010</v>
      </c>
      <c r="C217" s="7">
        <v>859</v>
      </c>
    </row>
    <row r="218" spans="1:3" x14ac:dyDescent="0.3">
      <c r="A218" t="s">
        <v>302</v>
      </c>
      <c r="B218" s="7">
        <v>262</v>
      </c>
      <c r="C218" s="7">
        <v>878</v>
      </c>
    </row>
    <row r="219" spans="1:3" x14ac:dyDescent="0.3">
      <c r="A219" t="s">
        <v>265</v>
      </c>
      <c r="B219" s="7">
        <v>17807</v>
      </c>
      <c r="C219" s="7">
        <v>15923</v>
      </c>
    </row>
    <row r="220" spans="1:3" x14ac:dyDescent="0.3">
      <c r="A220" s="8" t="s">
        <v>303</v>
      </c>
      <c r="B220" s="9">
        <v>37573</v>
      </c>
      <c r="C220" s="9">
        <v>29030</v>
      </c>
    </row>
    <row r="222" spans="1:3" x14ac:dyDescent="0.3">
      <c r="A222" s="2" t="s">
        <v>437</v>
      </c>
    </row>
    <row r="223" spans="1:3" x14ac:dyDescent="0.3">
      <c r="A223" s="2"/>
      <c r="B223" s="5" t="s">
        <v>457</v>
      </c>
      <c r="C223" s="5" t="s">
        <v>376</v>
      </c>
    </row>
    <row r="224" spans="1:3" x14ac:dyDescent="0.3">
      <c r="A224" t="s">
        <v>305</v>
      </c>
      <c r="B224" s="7">
        <v>2189</v>
      </c>
      <c r="C224" s="7">
        <v>1804</v>
      </c>
    </row>
    <row r="225" spans="1:3" x14ac:dyDescent="0.3">
      <c r="A225" t="s">
        <v>306</v>
      </c>
      <c r="B225" s="7">
        <v>1791</v>
      </c>
      <c r="C225" s="7">
        <v>1281</v>
      </c>
    </row>
    <row r="226" spans="1:3" x14ac:dyDescent="0.3">
      <c r="A226" t="s">
        <v>307</v>
      </c>
      <c r="B226" s="7">
        <v>1256</v>
      </c>
      <c r="C226" s="7">
        <v>389</v>
      </c>
    </row>
    <row r="227" spans="1:3" x14ac:dyDescent="0.3">
      <c r="A227" s="8" t="s">
        <v>308</v>
      </c>
      <c r="B227" s="9">
        <v>5236</v>
      </c>
      <c r="C227" s="9">
        <v>3474</v>
      </c>
    </row>
    <row r="228" spans="1:3" x14ac:dyDescent="0.3">
      <c r="A228" t="s">
        <v>310</v>
      </c>
      <c r="B228" s="7">
        <v>2059</v>
      </c>
      <c r="C228" s="7">
        <v>2189</v>
      </c>
    </row>
    <row r="229" spans="1:3" x14ac:dyDescent="0.3">
      <c r="A229" t="s">
        <v>311</v>
      </c>
      <c r="B229" s="7">
        <v>995</v>
      </c>
      <c r="C229" s="7">
        <v>1791</v>
      </c>
    </row>
    <row r="230" spans="1:3" x14ac:dyDescent="0.3">
      <c r="A230" t="s">
        <v>312</v>
      </c>
      <c r="B230" s="7">
        <v>1588</v>
      </c>
      <c r="C230" s="7">
        <v>1256</v>
      </c>
    </row>
    <row r="231" spans="1:3" x14ac:dyDescent="0.3">
      <c r="A231" s="8" t="s">
        <v>313</v>
      </c>
      <c r="B231" s="9">
        <v>4642</v>
      </c>
      <c r="C231" s="9">
        <v>5236</v>
      </c>
    </row>
    <row r="232" spans="1:3" x14ac:dyDescent="0.3">
      <c r="A232" s="8" t="s">
        <v>314</v>
      </c>
      <c r="B232" s="9">
        <v>594</v>
      </c>
      <c r="C232" s="9">
        <v>-1762</v>
      </c>
    </row>
    <row r="234" spans="1:3" x14ac:dyDescent="0.3">
      <c r="A234" s="2" t="s">
        <v>500</v>
      </c>
    </row>
    <row r="235" spans="1:3" x14ac:dyDescent="0.3">
      <c r="A235" s="2"/>
      <c r="B235" s="5" t="s">
        <v>457</v>
      </c>
      <c r="C235" s="5" t="s">
        <v>376</v>
      </c>
    </row>
    <row r="236" spans="1:3" x14ac:dyDescent="0.3">
      <c r="A236" t="s">
        <v>316</v>
      </c>
      <c r="B236" s="7">
        <v>5179</v>
      </c>
      <c r="C236" s="7">
        <v>4590</v>
      </c>
    </row>
    <row r="237" spans="1:3" x14ac:dyDescent="0.3">
      <c r="A237" t="s">
        <v>317</v>
      </c>
      <c r="B237" s="7">
        <v>254</v>
      </c>
      <c r="C237" s="7">
        <v>231</v>
      </c>
    </row>
    <row r="238" spans="1:3" x14ac:dyDescent="0.3">
      <c r="A238" t="s">
        <v>318</v>
      </c>
      <c r="B238" s="7">
        <v>152</v>
      </c>
      <c r="C238" s="7">
        <v>123</v>
      </c>
    </row>
    <row r="239" spans="1:3" x14ac:dyDescent="0.3">
      <c r="A239" s="8" t="s">
        <v>165</v>
      </c>
      <c r="B239" s="9">
        <v>5585</v>
      </c>
      <c r="C239" s="9">
        <v>4944</v>
      </c>
    </row>
    <row r="241" spans="1:3" x14ac:dyDescent="0.3">
      <c r="A241" s="2" t="s">
        <v>439</v>
      </c>
    </row>
    <row r="242" spans="1:3" x14ac:dyDescent="0.3">
      <c r="A242" s="2"/>
      <c r="B242" s="5" t="s">
        <v>457</v>
      </c>
      <c r="C242" s="5" t="s">
        <v>376</v>
      </c>
    </row>
    <row r="243" spans="1:3" x14ac:dyDescent="0.3">
      <c r="A243" t="s">
        <v>320</v>
      </c>
      <c r="B243" s="7">
        <v>1323</v>
      </c>
      <c r="C243" s="7">
        <v>1178</v>
      </c>
    </row>
    <row r="244" spans="1:3" x14ac:dyDescent="0.3">
      <c r="A244" t="s">
        <v>321</v>
      </c>
      <c r="B244" s="7">
        <v>-82</v>
      </c>
      <c r="C244" s="7">
        <v>-64</v>
      </c>
    </row>
    <row r="245" spans="1:3" x14ac:dyDescent="0.3">
      <c r="A245" t="s">
        <v>322</v>
      </c>
      <c r="B245" s="7">
        <v>13</v>
      </c>
      <c r="C245" s="7">
        <v>15</v>
      </c>
    </row>
    <row r="246" spans="1:3" x14ac:dyDescent="0.3">
      <c r="A246" s="8" t="s">
        <v>165</v>
      </c>
      <c r="B246" s="9">
        <v>1254</v>
      </c>
      <c r="C246" s="9">
        <v>1129</v>
      </c>
    </row>
    <row r="248" spans="1:3" x14ac:dyDescent="0.3">
      <c r="A248" s="2" t="s">
        <v>501</v>
      </c>
    </row>
    <row r="249" spans="1:3" x14ac:dyDescent="0.3">
      <c r="A249" s="2"/>
      <c r="B249" s="5" t="s">
        <v>457</v>
      </c>
      <c r="C249" s="5" t="s">
        <v>376</v>
      </c>
    </row>
    <row r="250" spans="1:3" x14ac:dyDescent="0.3">
      <c r="A250" t="s">
        <v>324</v>
      </c>
      <c r="B250" s="7">
        <v>1127</v>
      </c>
      <c r="C250" s="7">
        <v>966</v>
      </c>
    </row>
    <row r="251" spans="1:3" x14ac:dyDescent="0.3">
      <c r="A251" t="s">
        <v>325</v>
      </c>
      <c r="B251" s="7">
        <v>24</v>
      </c>
      <c r="C251" s="7">
        <v>24</v>
      </c>
    </row>
    <row r="252" spans="1:3" x14ac:dyDescent="0.3">
      <c r="A252" s="8" t="s">
        <v>165</v>
      </c>
      <c r="B252" s="9">
        <v>1151</v>
      </c>
      <c r="C252" s="9">
        <v>990</v>
      </c>
    </row>
    <row r="254" spans="1:3" x14ac:dyDescent="0.3">
      <c r="A254" s="2" t="s">
        <v>441</v>
      </c>
    </row>
    <row r="255" spans="1:3" x14ac:dyDescent="0.3">
      <c r="A255" s="2"/>
      <c r="B255" s="5" t="s">
        <v>457</v>
      </c>
      <c r="C255" s="5" t="s">
        <v>376</v>
      </c>
    </row>
    <row r="256" spans="1:3" x14ac:dyDescent="0.3">
      <c r="A256" t="s">
        <v>327</v>
      </c>
      <c r="B256" s="7">
        <v>676</v>
      </c>
      <c r="C256" s="7">
        <v>475</v>
      </c>
    </row>
    <row r="257" spans="1:3" x14ac:dyDescent="0.3">
      <c r="A257" t="s">
        <v>328</v>
      </c>
      <c r="B257" s="7">
        <v>1553</v>
      </c>
      <c r="C257" s="7">
        <v>1265</v>
      </c>
    </row>
    <row r="258" spans="1:3" x14ac:dyDescent="0.3">
      <c r="A258" t="s">
        <v>329</v>
      </c>
      <c r="B258" s="7">
        <v>1082</v>
      </c>
      <c r="C258" s="7">
        <v>924</v>
      </c>
    </row>
    <row r="259" spans="1:3" x14ac:dyDescent="0.3">
      <c r="A259" t="s">
        <v>330</v>
      </c>
      <c r="B259" s="7">
        <v>93</v>
      </c>
      <c r="C259" s="7">
        <v>103</v>
      </c>
    </row>
    <row r="260" spans="1:3" x14ac:dyDescent="0.3">
      <c r="A260" t="s">
        <v>331</v>
      </c>
      <c r="B260" s="7">
        <v>499</v>
      </c>
      <c r="C260" s="7">
        <v>92</v>
      </c>
    </row>
    <row r="261" spans="1:3" x14ac:dyDescent="0.3">
      <c r="A261" t="s">
        <v>332</v>
      </c>
      <c r="B261" s="7">
        <v>74</v>
      </c>
      <c r="C261" s="7">
        <v>67</v>
      </c>
    </row>
    <row r="262" spans="1:3" x14ac:dyDescent="0.3">
      <c r="A262" t="s">
        <v>333</v>
      </c>
      <c r="B262" s="7">
        <v>14</v>
      </c>
      <c r="C262" s="7">
        <v>10</v>
      </c>
    </row>
    <row r="263" spans="1:3" x14ac:dyDescent="0.3">
      <c r="A263" t="s">
        <v>334</v>
      </c>
      <c r="B263" s="7">
        <v>536</v>
      </c>
      <c r="C263" s="7">
        <v>244</v>
      </c>
    </row>
    <row r="264" spans="1:3" x14ac:dyDescent="0.3">
      <c r="A264" t="s">
        <v>502</v>
      </c>
      <c r="B264" s="7">
        <v>156</v>
      </c>
      <c r="C264" s="7">
        <v>150</v>
      </c>
    </row>
    <row r="265" spans="1:3" x14ac:dyDescent="0.3">
      <c r="A265" t="s">
        <v>335</v>
      </c>
      <c r="B265" s="7">
        <v>5138</v>
      </c>
      <c r="C265" s="7">
        <v>3787</v>
      </c>
    </row>
    <row r="266" spans="1:3" x14ac:dyDescent="0.3">
      <c r="A266" t="s">
        <v>336</v>
      </c>
      <c r="B266" s="7">
        <v>509</v>
      </c>
      <c r="C266" s="7">
        <v>345</v>
      </c>
    </row>
    <row r="267" spans="1:3" x14ac:dyDescent="0.3">
      <c r="A267" t="s">
        <v>337</v>
      </c>
      <c r="B267" s="7">
        <v>58</v>
      </c>
      <c r="C267" s="7">
        <v>43</v>
      </c>
    </row>
    <row r="268" spans="1:3" x14ac:dyDescent="0.3">
      <c r="A268" t="s">
        <v>338</v>
      </c>
      <c r="B268" s="7">
        <v>2742</v>
      </c>
      <c r="C268" s="7">
        <v>2565</v>
      </c>
    </row>
    <row r="269" spans="1:3" x14ac:dyDescent="0.3">
      <c r="A269" t="s">
        <v>339</v>
      </c>
      <c r="B269" s="7">
        <v>369</v>
      </c>
      <c r="C269" s="7">
        <v>199</v>
      </c>
    </row>
    <row r="270" spans="1:3" x14ac:dyDescent="0.3">
      <c r="A270" t="s">
        <v>340</v>
      </c>
      <c r="B270" s="7">
        <v>16</v>
      </c>
      <c r="C270" s="7">
        <v>16</v>
      </c>
    </row>
    <row r="271" spans="1:3" x14ac:dyDescent="0.3">
      <c r="A271" t="s">
        <v>341</v>
      </c>
      <c r="B271" s="7">
        <v>1814</v>
      </c>
      <c r="C271" s="7">
        <v>1559</v>
      </c>
    </row>
    <row r="272" spans="1:3" x14ac:dyDescent="0.3">
      <c r="A272" s="8" t="s">
        <v>165</v>
      </c>
      <c r="B272" s="9">
        <v>15329</v>
      </c>
      <c r="C272" s="9">
        <v>11844</v>
      </c>
    </row>
    <row r="274" spans="1:3" x14ac:dyDescent="0.3">
      <c r="A274" s="2" t="s">
        <v>443</v>
      </c>
    </row>
    <row r="275" spans="1:3" x14ac:dyDescent="0.3">
      <c r="A275" s="2"/>
      <c r="B275" s="5" t="s">
        <v>457</v>
      </c>
      <c r="C275" s="5" t="s">
        <v>376</v>
      </c>
    </row>
    <row r="276" spans="1:3" x14ac:dyDescent="0.3">
      <c r="A276" t="s">
        <v>107</v>
      </c>
      <c r="B276" s="7">
        <v>483662163</v>
      </c>
      <c r="C276" s="7">
        <v>483662163</v>
      </c>
    </row>
    <row r="277" spans="1:3" x14ac:dyDescent="0.3">
      <c r="A277" t="s">
        <v>343</v>
      </c>
      <c r="B277" s="7">
        <v>10688</v>
      </c>
      <c r="C277" s="7">
        <v>8177</v>
      </c>
    </row>
    <row r="278" spans="1:3" x14ac:dyDescent="0.3">
      <c r="A278" t="s">
        <v>344</v>
      </c>
      <c r="B278" s="7">
        <v>22.1</v>
      </c>
      <c r="C278" s="7">
        <v>16.91</v>
      </c>
    </row>
    <row r="280" spans="1:3" x14ac:dyDescent="0.3">
      <c r="A280" s="2" t="s">
        <v>444</v>
      </c>
    </row>
    <row r="281" spans="1:3" x14ac:dyDescent="0.3">
      <c r="A281" s="2"/>
      <c r="B281" s="5" t="s">
        <v>457</v>
      </c>
      <c r="C281" s="5" t="s">
        <v>376</v>
      </c>
    </row>
    <row r="282" spans="1:3" x14ac:dyDescent="0.3">
      <c r="A282" t="s">
        <v>346</v>
      </c>
      <c r="B282" s="7">
        <v>116</v>
      </c>
      <c r="C282" s="7">
        <v>60</v>
      </c>
    </row>
    <row r="284" spans="1:3" x14ac:dyDescent="0.3">
      <c r="A284" s="2" t="s">
        <v>445</v>
      </c>
    </row>
    <row r="285" spans="1:3" x14ac:dyDescent="0.3">
      <c r="A285" s="2"/>
      <c r="B285" s="5" t="s">
        <v>457</v>
      </c>
      <c r="C285" s="5" t="s">
        <v>376</v>
      </c>
    </row>
    <row r="286" spans="1:3" x14ac:dyDescent="0.3">
      <c r="A286" t="s">
        <v>503</v>
      </c>
      <c r="B286" s="7">
        <v>1481</v>
      </c>
      <c r="C286" s="7">
        <v>932</v>
      </c>
    </row>
    <row r="287" spans="1:3" x14ac:dyDescent="0.3">
      <c r="A287" t="s">
        <v>349</v>
      </c>
      <c r="B287" s="7">
        <v>884</v>
      </c>
      <c r="C287" s="7">
        <v>921</v>
      </c>
    </row>
    <row r="288" spans="1:3" x14ac:dyDescent="0.3">
      <c r="A288" t="s">
        <v>350</v>
      </c>
      <c r="B288" s="7">
        <v>64</v>
      </c>
      <c r="C288" s="7">
        <v>144</v>
      </c>
    </row>
    <row r="290" spans="1:3" x14ac:dyDescent="0.3">
      <c r="A290" s="2" t="s">
        <v>447</v>
      </c>
    </row>
    <row r="291" spans="1:3" x14ac:dyDescent="0.3">
      <c r="A291" s="2"/>
      <c r="B291" s="5" t="s">
        <v>457</v>
      </c>
      <c r="C291" s="5" t="s">
        <v>376</v>
      </c>
    </row>
    <row r="292" spans="1:3" x14ac:dyDescent="0.3">
      <c r="A292" t="s">
        <v>352</v>
      </c>
      <c r="B292" s="7">
        <v>2580</v>
      </c>
      <c r="C292" s="7">
        <v>2396</v>
      </c>
    </row>
    <row r="293" spans="1:3" x14ac:dyDescent="0.3">
      <c r="A293" t="s">
        <v>353</v>
      </c>
      <c r="B293" s="7">
        <v>-79</v>
      </c>
      <c r="C293" s="7">
        <v>16</v>
      </c>
    </row>
    <row r="294" spans="1:3" x14ac:dyDescent="0.3">
      <c r="A294" t="s">
        <v>355</v>
      </c>
      <c r="B294" s="7">
        <v>-307</v>
      </c>
      <c r="C294" s="7">
        <v>-6</v>
      </c>
    </row>
    <row r="295" spans="1:3" x14ac:dyDescent="0.3">
      <c r="A295" t="s">
        <v>356</v>
      </c>
      <c r="B295" s="7">
        <v>93</v>
      </c>
      <c r="C295" s="7">
        <v>-9</v>
      </c>
    </row>
    <row r="296" spans="1:3" x14ac:dyDescent="0.3">
      <c r="A296" s="8" t="s">
        <v>358</v>
      </c>
      <c r="B296" s="9">
        <v>2287</v>
      </c>
      <c r="C296" s="9">
        <v>2397</v>
      </c>
    </row>
    <row r="297" spans="1:3" x14ac:dyDescent="0.3">
      <c r="A297" t="s">
        <v>359</v>
      </c>
      <c r="B297" s="7">
        <v>12975</v>
      </c>
      <c r="C297" s="7">
        <v>10574</v>
      </c>
    </row>
    <row r="298" spans="1:3" x14ac:dyDescent="0.3">
      <c r="A298" t="s">
        <v>360</v>
      </c>
      <c r="B298" s="7">
        <v>3266</v>
      </c>
      <c r="C298" s="7">
        <v>2662</v>
      </c>
    </row>
    <row r="299" spans="1:3" x14ac:dyDescent="0.3">
      <c r="A299" t="s">
        <v>449</v>
      </c>
      <c r="B299" s="7">
        <v>-438</v>
      </c>
      <c r="C299" s="7">
        <v>-231</v>
      </c>
    </row>
    <row r="300" spans="1:3" x14ac:dyDescent="0.3">
      <c r="A300" t="s">
        <v>363</v>
      </c>
      <c r="B300" s="7">
        <v>88</v>
      </c>
      <c r="C300" s="7">
        <v>61</v>
      </c>
    </row>
    <row r="301" spans="1:3" x14ac:dyDescent="0.3">
      <c r="A301" t="s">
        <v>364</v>
      </c>
      <c r="B301" s="7">
        <v>14</v>
      </c>
      <c r="C301" s="7">
        <v>0</v>
      </c>
    </row>
    <row r="302" spans="1:3" x14ac:dyDescent="0.3">
      <c r="A302" t="s">
        <v>265</v>
      </c>
      <c r="B302" s="7">
        <v>19</v>
      </c>
      <c r="C302" s="7">
        <v>23</v>
      </c>
    </row>
    <row r="303" spans="1:3" x14ac:dyDescent="0.3">
      <c r="A303" t="s">
        <v>365</v>
      </c>
      <c r="B303" s="7">
        <v>18</v>
      </c>
      <c r="C303" s="7">
        <v>23</v>
      </c>
    </row>
    <row r="305" spans="1:3" x14ac:dyDescent="0.3">
      <c r="A305" s="2" t="s">
        <v>369</v>
      </c>
    </row>
    <row r="306" spans="1:3" x14ac:dyDescent="0.3">
      <c r="A306" s="2"/>
      <c r="B306" s="5" t="s">
        <v>457</v>
      </c>
      <c r="C306" s="5" t="s">
        <v>376</v>
      </c>
    </row>
    <row r="307" spans="1:3" x14ac:dyDescent="0.3">
      <c r="A307" t="s">
        <v>370</v>
      </c>
      <c r="B307" s="7">
        <v>1214</v>
      </c>
      <c r="C307" s="7">
        <v>1261</v>
      </c>
    </row>
    <row r="308" spans="1:3" x14ac:dyDescent="0.3">
      <c r="A308" t="s">
        <v>371</v>
      </c>
      <c r="B308" s="7">
        <v>0</v>
      </c>
      <c r="C308" s="7">
        <v>2</v>
      </c>
    </row>
    <row r="309" spans="1:3" x14ac:dyDescent="0.3">
      <c r="A309" t="s">
        <v>372</v>
      </c>
      <c r="B309" s="7">
        <v>0</v>
      </c>
      <c r="C309" s="7">
        <v>0</v>
      </c>
    </row>
    <row r="310" spans="1:3" x14ac:dyDescent="0.3">
      <c r="A310" t="s">
        <v>373</v>
      </c>
      <c r="B310" s="7">
        <v>16</v>
      </c>
      <c r="C310" s="7">
        <v>16</v>
      </c>
    </row>
    <row r="311" spans="1:3" x14ac:dyDescent="0.3">
      <c r="A311" t="s">
        <v>374</v>
      </c>
      <c r="B311" s="7">
        <v>0</v>
      </c>
      <c r="C311" s="7">
        <v>0</v>
      </c>
    </row>
    <row r="313" spans="1:3" x14ac:dyDescent="0.3">
      <c r="A313" s="2" t="s">
        <v>504</v>
      </c>
    </row>
    <row r="314" spans="1:3" x14ac:dyDescent="0.3">
      <c r="A314" s="2"/>
      <c r="B314" s="5" t="s">
        <v>457</v>
      </c>
      <c r="C314" s="5" t="s">
        <v>376</v>
      </c>
    </row>
    <row r="315" spans="1:3" x14ac:dyDescent="0.3">
      <c r="A315" t="s">
        <v>451</v>
      </c>
      <c r="B315" s="7">
        <v>154</v>
      </c>
      <c r="C315" s="7">
        <v>166</v>
      </c>
    </row>
    <row r="316" spans="1:3" x14ac:dyDescent="0.3">
      <c r="A316" t="s">
        <v>452</v>
      </c>
      <c r="B316" s="7">
        <v>0</v>
      </c>
      <c r="C316" s="7">
        <v>0</v>
      </c>
    </row>
    <row r="317" spans="1:3" x14ac:dyDescent="0.3">
      <c r="A317" t="s">
        <v>453</v>
      </c>
      <c r="B317" s="7">
        <v>68</v>
      </c>
      <c r="C317" s="7">
        <v>32</v>
      </c>
    </row>
    <row r="318" spans="1:3" x14ac:dyDescent="0.3">
      <c r="A318" t="s">
        <v>454</v>
      </c>
      <c r="B318" s="7">
        <v>86</v>
      </c>
      <c r="C318" s="7">
        <v>134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8"/>
  <sheetViews>
    <sheetView workbookViewId="0">
      <pane ySplit="4" topLeftCell="A5" activePane="bottomLeft" state="frozen"/>
      <selection pane="bottomLeft" activeCell="A6" sqref="A6:C58"/>
    </sheetView>
  </sheetViews>
  <sheetFormatPr defaultRowHeight="14.4" x14ac:dyDescent="0.3"/>
  <cols>
    <col min="1" max="1" width="58" customWidth="1"/>
    <col min="2" max="3" width="18" customWidth="1"/>
    <col min="4" max="4" width="4" customWidth="1"/>
  </cols>
  <sheetData>
    <row r="1" spans="1:3" ht="17.399999999999999" x14ac:dyDescent="0.35">
      <c r="A1" s="1" t="s">
        <v>30</v>
      </c>
    </row>
    <row r="2" spans="1:3" x14ac:dyDescent="0.3">
      <c r="A2" s="2" t="s">
        <v>31</v>
      </c>
    </row>
    <row r="3" spans="1:3" x14ac:dyDescent="0.3">
      <c r="A3" s="3" t="s">
        <v>505</v>
      </c>
    </row>
    <row r="4" spans="1:3" x14ac:dyDescent="0.3">
      <c r="A4" s="4" t="s">
        <v>33</v>
      </c>
    </row>
    <row r="6" spans="1:3" x14ac:dyDescent="0.3">
      <c r="A6" s="2" t="s">
        <v>34</v>
      </c>
      <c r="B6" s="5" t="s">
        <v>506</v>
      </c>
      <c r="C6" s="5" t="s">
        <v>457</v>
      </c>
    </row>
    <row r="7" spans="1:3" x14ac:dyDescent="0.3">
      <c r="A7" s="6" t="s">
        <v>37</v>
      </c>
    </row>
    <row r="8" spans="1:3" x14ac:dyDescent="0.3">
      <c r="A8" s="6" t="s">
        <v>38</v>
      </c>
    </row>
    <row r="9" spans="1:3" x14ac:dyDescent="0.3">
      <c r="A9" t="s">
        <v>39</v>
      </c>
      <c r="B9" s="7">
        <v>9724</v>
      </c>
      <c r="C9" s="7">
        <v>9793</v>
      </c>
    </row>
    <row r="10" spans="1:3" x14ac:dyDescent="0.3">
      <c r="A10" t="s">
        <v>40</v>
      </c>
      <c r="B10" s="7">
        <v>141</v>
      </c>
      <c r="C10" s="7">
        <v>195</v>
      </c>
    </row>
    <row r="11" spans="1:3" x14ac:dyDescent="0.3">
      <c r="A11" t="s">
        <v>507</v>
      </c>
      <c r="B11" s="7">
        <v>140</v>
      </c>
      <c r="C11" s="7">
        <v>109</v>
      </c>
    </row>
    <row r="12" spans="1:3" x14ac:dyDescent="0.3">
      <c r="A12" t="s">
        <v>41</v>
      </c>
      <c r="B12" s="7">
        <v>810</v>
      </c>
      <c r="C12" s="7">
        <v>800</v>
      </c>
    </row>
    <row r="13" spans="1:3" x14ac:dyDescent="0.3">
      <c r="A13" t="s">
        <v>42</v>
      </c>
      <c r="B13" s="7">
        <v>1268</v>
      </c>
      <c r="C13" s="7">
        <v>362</v>
      </c>
    </row>
    <row r="14" spans="1:3" x14ac:dyDescent="0.3">
      <c r="A14" t="s">
        <v>43</v>
      </c>
      <c r="B14" s="7">
        <v>3983</v>
      </c>
      <c r="C14" s="7">
        <v>1723</v>
      </c>
    </row>
    <row r="15" spans="1:3" x14ac:dyDescent="0.3">
      <c r="A15" t="s">
        <v>44</v>
      </c>
      <c r="B15" s="7">
        <v>33176</v>
      </c>
      <c r="C15" s="7">
        <v>33415</v>
      </c>
    </row>
    <row r="16" spans="1:3" x14ac:dyDescent="0.3">
      <c r="A16" t="s">
        <v>51</v>
      </c>
      <c r="B16" s="7">
        <v>45</v>
      </c>
      <c r="C16" s="7">
        <v>99</v>
      </c>
    </row>
    <row r="17" spans="1:3" x14ac:dyDescent="0.3">
      <c r="A17" t="s">
        <v>508</v>
      </c>
      <c r="B17" s="7">
        <v>0</v>
      </c>
      <c r="C17" s="7">
        <v>1</v>
      </c>
    </row>
    <row r="18" spans="1:3" x14ac:dyDescent="0.3">
      <c r="A18" t="s">
        <v>45</v>
      </c>
      <c r="B18" s="7">
        <v>18265</v>
      </c>
      <c r="C18" s="7">
        <v>15048</v>
      </c>
    </row>
    <row r="19" spans="1:3" x14ac:dyDescent="0.3">
      <c r="A19" t="s">
        <v>46</v>
      </c>
      <c r="B19" s="7">
        <v>106</v>
      </c>
      <c r="C19" s="7">
        <v>4</v>
      </c>
    </row>
    <row r="20" spans="1:3" x14ac:dyDescent="0.3">
      <c r="A20" t="s">
        <v>458</v>
      </c>
      <c r="B20" s="7">
        <v>788</v>
      </c>
      <c r="C20" s="7">
        <v>661</v>
      </c>
    </row>
    <row r="21" spans="1:3" x14ac:dyDescent="0.3">
      <c r="A21" t="s">
        <v>55</v>
      </c>
      <c r="B21" s="7">
        <v>1140</v>
      </c>
      <c r="C21" s="7">
        <v>894</v>
      </c>
    </row>
    <row r="22" spans="1:3" x14ac:dyDescent="0.3">
      <c r="A22" s="8" t="s">
        <v>48</v>
      </c>
      <c r="B22" s="9">
        <v>69586</v>
      </c>
      <c r="C22" s="9">
        <v>63104</v>
      </c>
    </row>
    <row r="23" spans="1:3" x14ac:dyDescent="0.3">
      <c r="A23" s="6" t="s">
        <v>49</v>
      </c>
    </row>
    <row r="24" spans="1:3" x14ac:dyDescent="0.3">
      <c r="A24" t="s">
        <v>50</v>
      </c>
      <c r="B24" s="7">
        <v>6402</v>
      </c>
      <c r="C24" s="7">
        <v>8069</v>
      </c>
    </row>
    <row r="25" spans="1:3" x14ac:dyDescent="0.3">
      <c r="A25" t="s">
        <v>44</v>
      </c>
      <c r="B25" s="7">
        <v>73332</v>
      </c>
      <c r="C25" s="7">
        <v>67114</v>
      </c>
    </row>
    <row r="26" spans="1:3" x14ac:dyDescent="0.3">
      <c r="A26" t="s">
        <v>51</v>
      </c>
      <c r="B26" s="7">
        <v>7345</v>
      </c>
      <c r="C26" s="7">
        <v>6799</v>
      </c>
    </row>
    <row r="27" spans="1:3" x14ac:dyDescent="0.3">
      <c r="A27" t="s">
        <v>508</v>
      </c>
      <c r="B27" s="7">
        <v>5</v>
      </c>
      <c r="C27" s="7">
        <v>0</v>
      </c>
    </row>
    <row r="28" spans="1:3" x14ac:dyDescent="0.3">
      <c r="A28" t="s">
        <v>53</v>
      </c>
      <c r="B28" s="7">
        <v>3309</v>
      </c>
      <c r="C28" s="7">
        <v>1597</v>
      </c>
    </row>
    <row r="29" spans="1:3" x14ac:dyDescent="0.3">
      <c r="A29" t="s">
        <v>45</v>
      </c>
      <c r="B29" s="7">
        <v>2727</v>
      </c>
      <c r="C29" s="7">
        <v>5324</v>
      </c>
    </row>
    <row r="30" spans="1:3" x14ac:dyDescent="0.3">
      <c r="A30" t="s">
        <v>46</v>
      </c>
      <c r="B30" s="7">
        <v>1319</v>
      </c>
      <c r="C30" s="7">
        <v>2017</v>
      </c>
    </row>
    <row r="31" spans="1:3" x14ac:dyDescent="0.3">
      <c r="A31" t="s">
        <v>55</v>
      </c>
      <c r="B31" s="7">
        <v>2063</v>
      </c>
      <c r="C31" s="7">
        <v>1764</v>
      </c>
    </row>
    <row r="32" spans="1:3" x14ac:dyDescent="0.3">
      <c r="A32" t="s">
        <v>459</v>
      </c>
      <c r="B32" s="7">
        <v>53</v>
      </c>
      <c r="C32" s="7">
        <v>53</v>
      </c>
    </row>
    <row r="33" spans="1:3" x14ac:dyDescent="0.3">
      <c r="A33" s="8" t="s">
        <v>56</v>
      </c>
      <c r="B33" s="9">
        <v>96555</v>
      </c>
      <c r="C33" s="9">
        <v>92737</v>
      </c>
    </row>
    <row r="34" spans="1:3" x14ac:dyDescent="0.3">
      <c r="A34" s="10" t="s">
        <v>57</v>
      </c>
      <c r="B34" s="11">
        <v>166141</v>
      </c>
      <c r="C34" s="11">
        <v>155841</v>
      </c>
    </row>
    <row r="35" spans="1:3" x14ac:dyDescent="0.3">
      <c r="A35" s="6" t="s">
        <v>58</v>
      </c>
    </row>
    <row r="36" spans="1:3" x14ac:dyDescent="0.3">
      <c r="A36" s="6" t="s">
        <v>59</v>
      </c>
    </row>
    <row r="37" spans="1:3" x14ac:dyDescent="0.3">
      <c r="A37" t="s">
        <v>60</v>
      </c>
      <c r="B37" s="7">
        <v>4837</v>
      </c>
      <c r="C37" s="7">
        <v>4837</v>
      </c>
    </row>
    <row r="38" spans="1:3" x14ac:dyDescent="0.3">
      <c r="A38" t="s">
        <v>61</v>
      </c>
      <c r="B38" s="7">
        <v>119159</v>
      </c>
      <c r="C38" s="7">
        <v>106557</v>
      </c>
    </row>
    <row r="39" spans="1:3" x14ac:dyDescent="0.3">
      <c r="A39" s="8" t="s">
        <v>62</v>
      </c>
      <c r="B39" s="9">
        <v>123996</v>
      </c>
      <c r="C39" s="9">
        <v>111394</v>
      </c>
    </row>
    <row r="40" spans="1:3" x14ac:dyDescent="0.3">
      <c r="A40" s="6" t="s">
        <v>63</v>
      </c>
    </row>
    <row r="41" spans="1:3" x14ac:dyDescent="0.3">
      <c r="A41" t="s">
        <v>64</v>
      </c>
      <c r="B41" s="7">
        <v>11967</v>
      </c>
      <c r="C41" s="7">
        <v>14985</v>
      </c>
    </row>
    <row r="42" spans="1:3" x14ac:dyDescent="0.3">
      <c r="A42" t="s">
        <v>65</v>
      </c>
      <c r="B42" s="7">
        <v>79</v>
      </c>
      <c r="C42" s="7">
        <v>22</v>
      </c>
    </row>
    <row r="43" spans="1:3" x14ac:dyDescent="0.3">
      <c r="A43" t="s">
        <v>71</v>
      </c>
      <c r="B43" s="7">
        <v>1255</v>
      </c>
      <c r="C43" s="7">
        <v>1571</v>
      </c>
    </row>
    <row r="44" spans="1:3" x14ac:dyDescent="0.3">
      <c r="A44" t="s">
        <v>67</v>
      </c>
      <c r="B44" s="7">
        <v>320</v>
      </c>
      <c r="C44" s="7">
        <v>57</v>
      </c>
    </row>
    <row r="45" spans="1:3" x14ac:dyDescent="0.3">
      <c r="A45" t="s">
        <v>68</v>
      </c>
      <c r="B45" s="7">
        <v>1620</v>
      </c>
      <c r="C45" s="7">
        <v>1018</v>
      </c>
    </row>
    <row r="46" spans="1:3" x14ac:dyDescent="0.3">
      <c r="A46" s="8" t="s">
        <v>69</v>
      </c>
      <c r="B46" s="9">
        <v>15241</v>
      </c>
      <c r="C46" s="9">
        <v>17653</v>
      </c>
    </row>
    <row r="47" spans="1:3" x14ac:dyDescent="0.3">
      <c r="A47" s="6" t="s">
        <v>70</v>
      </c>
    </row>
    <row r="48" spans="1:3" x14ac:dyDescent="0.3">
      <c r="A48" t="s">
        <v>64</v>
      </c>
      <c r="B48" s="7">
        <v>11032</v>
      </c>
      <c r="C48" s="7">
        <v>9850</v>
      </c>
    </row>
    <row r="49" spans="1:6" x14ac:dyDescent="0.3">
      <c r="A49" t="s">
        <v>65</v>
      </c>
      <c r="B49" s="7">
        <v>27</v>
      </c>
      <c r="C49" s="7">
        <v>83</v>
      </c>
    </row>
    <row r="50" spans="1:6" x14ac:dyDescent="0.3">
      <c r="A50" t="s">
        <v>71</v>
      </c>
      <c r="B50" s="7">
        <v>452</v>
      </c>
      <c r="C50" s="7">
        <v>516</v>
      </c>
    </row>
    <row r="51" spans="1:6" x14ac:dyDescent="0.3">
      <c r="A51" t="s">
        <v>72</v>
      </c>
      <c r="B51" s="7">
        <v>1003</v>
      </c>
      <c r="C51" s="7">
        <v>1214</v>
      </c>
      <c r="F51" s="7" t="s">
        <v>676</v>
      </c>
    </row>
    <row r="52" spans="1:6" x14ac:dyDescent="0.3">
      <c r="A52" t="s">
        <v>73</v>
      </c>
      <c r="B52" s="7">
        <v>11695</v>
      </c>
      <c r="C52" s="7">
        <v>11061</v>
      </c>
    </row>
    <row r="53" spans="1:6" x14ac:dyDescent="0.3">
      <c r="A53" t="s">
        <v>66</v>
      </c>
      <c r="B53" s="7">
        <v>703</v>
      </c>
      <c r="C53" s="7">
        <v>1706</v>
      </c>
    </row>
    <row r="54" spans="1:6" x14ac:dyDescent="0.3">
      <c r="A54" t="s">
        <v>378</v>
      </c>
      <c r="B54" s="7">
        <v>721</v>
      </c>
      <c r="C54" s="7">
        <v>1109</v>
      </c>
    </row>
    <row r="55" spans="1:6" x14ac:dyDescent="0.3">
      <c r="A55" t="s">
        <v>67</v>
      </c>
      <c r="B55" s="7">
        <v>163</v>
      </c>
      <c r="C55" s="7">
        <v>152</v>
      </c>
    </row>
    <row r="56" spans="1:6" x14ac:dyDescent="0.3">
      <c r="A56" t="s">
        <v>76</v>
      </c>
      <c r="B56" s="7">
        <v>1108</v>
      </c>
      <c r="C56" s="7">
        <v>1103</v>
      </c>
    </row>
    <row r="57" spans="1:6" x14ac:dyDescent="0.3">
      <c r="A57" s="8" t="s">
        <v>77</v>
      </c>
      <c r="B57" s="9">
        <v>26904</v>
      </c>
      <c r="C57" s="9">
        <v>26794</v>
      </c>
    </row>
    <row r="58" spans="1:6" x14ac:dyDescent="0.3">
      <c r="A58" s="10" t="s">
        <v>78</v>
      </c>
      <c r="B58" s="11">
        <v>166141</v>
      </c>
      <c r="C58" s="11">
        <v>155841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4"/>
  <sheetViews>
    <sheetView workbookViewId="0">
      <pane ySplit="4" topLeftCell="A5" activePane="bottomLeft" state="frozen"/>
      <selection pane="bottomLeft" activeCell="B8" sqref="B8"/>
    </sheetView>
  </sheetViews>
  <sheetFormatPr defaultRowHeight="14.4" x14ac:dyDescent="0.3"/>
  <cols>
    <col min="1" max="1" width="58" customWidth="1"/>
    <col min="2" max="3" width="18" customWidth="1"/>
    <col min="4" max="4" width="4" customWidth="1"/>
  </cols>
  <sheetData>
    <row r="1" spans="1:6" ht="17.399999999999999" x14ac:dyDescent="0.35">
      <c r="A1" s="1" t="s">
        <v>30</v>
      </c>
    </row>
    <row r="2" spans="1:6" x14ac:dyDescent="0.3">
      <c r="A2" s="2" t="s">
        <v>79</v>
      </c>
    </row>
    <row r="3" spans="1:6" x14ac:dyDescent="0.3">
      <c r="A3" s="3" t="s">
        <v>509</v>
      </c>
    </row>
    <row r="4" spans="1:6" x14ac:dyDescent="0.3">
      <c r="A4" s="4" t="s">
        <v>33</v>
      </c>
    </row>
    <row r="6" spans="1:6" x14ac:dyDescent="0.3">
      <c r="A6" s="2" t="s">
        <v>34</v>
      </c>
      <c r="B6" s="5" t="s">
        <v>506</v>
      </c>
      <c r="C6" s="5" t="s">
        <v>457</v>
      </c>
    </row>
    <row r="7" spans="1:6" x14ac:dyDescent="0.3">
      <c r="A7" s="6" t="s">
        <v>81</v>
      </c>
    </row>
    <row r="8" spans="1:6" x14ac:dyDescent="0.3">
      <c r="A8" t="s">
        <v>82</v>
      </c>
      <c r="B8" s="7">
        <v>71763</v>
      </c>
      <c r="C8" s="7">
        <v>70052</v>
      </c>
    </row>
    <row r="9" spans="1:6" x14ac:dyDescent="0.3">
      <c r="A9" t="s">
        <v>83</v>
      </c>
      <c r="B9" s="7">
        <v>9583</v>
      </c>
      <c r="C9" s="7">
        <v>7531</v>
      </c>
    </row>
    <row r="10" spans="1:6" x14ac:dyDescent="0.3">
      <c r="A10" s="8" t="s">
        <v>84</v>
      </c>
      <c r="B10" s="9">
        <v>81346</v>
      </c>
      <c r="C10" s="9">
        <v>77583</v>
      </c>
    </row>
    <row r="11" spans="1:6" x14ac:dyDescent="0.3">
      <c r="A11" s="6" t="s">
        <v>85</v>
      </c>
    </row>
    <row r="12" spans="1:6" x14ac:dyDescent="0.3">
      <c r="A12" t="s">
        <v>86</v>
      </c>
      <c r="B12" s="7">
        <v>38297</v>
      </c>
      <c r="C12" s="7">
        <v>37573</v>
      </c>
      <c r="F12" s="7" t="s">
        <v>676</v>
      </c>
    </row>
    <row r="13" spans="1:6" x14ac:dyDescent="0.3">
      <c r="A13" t="s">
        <v>87</v>
      </c>
      <c r="B13" s="7">
        <v>530</v>
      </c>
      <c r="C13" s="7">
        <v>3163</v>
      </c>
    </row>
    <row r="14" spans="1:6" x14ac:dyDescent="0.3">
      <c r="A14" t="s">
        <v>88</v>
      </c>
      <c r="B14" s="7">
        <v>697</v>
      </c>
      <c r="C14" s="7">
        <v>594</v>
      </c>
    </row>
    <row r="15" spans="1:6" x14ac:dyDescent="0.3">
      <c r="A15" t="s">
        <v>89</v>
      </c>
      <c r="B15" s="7">
        <v>6264</v>
      </c>
      <c r="C15" s="7">
        <v>5585</v>
      </c>
    </row>
    <row r="16" spans="1:6" x14ac:dyDescent="0.3">
      <c r="A16" t="s">
        <v>90</v>
      </c>
      <c r="B16" s="7">
        <v>1478</v>
      </c>
      <c r="C16" s="7">
        <v>1213</v>
      </c>
    </row>
    <row r="17" spans="1:3" x14ac:dyDescent="0.3">
      <c r="A17" t="s">
        <v>91</v>
      </c>
      <c r="B17" s="7">
        <v>1830</v>
      </c>
      <c r="C17" s="7">
        <v>1151</v>
      </c>
    </row>
    <row r="18" spans="1:3" x14ac:dyDescent="0.3">
      <c r="A18" t="s">
        <v>92</v>
      </c>
      <c r="B18" s="7">
        <v>16243</v>
      </c>
      <c r="C18" s="7">
        <v>15329</v>
      </c>
    </row>
    <row r="19" spans="1:3" x14ac:dyDescent="0.3">
      <c r="A19" s="8" t="s">
        <v>462</v>
      </c>
      <c r="B19" s="9">
        <v>65339</v>
      </c>
      <c r="C19" s="9">
        <v>64608</v>
      </c>
    </row>
    <row r="20" spans="1:3" x14ac:dyDescent="0.3">
      <c r="A20" s="8" t="s">
        <v>94</v>
      </c>
      <c r="B20" s="9">
        <v>16007</v>
      </c>
      <c r="C20" s="9">
        <v>12975</v>
      </c>
    </row>
    <row r="21" spans="1:3" x14ac:dyDescent="0.3">
      <c r="A21" s="6" t="s">
        <v>95</v>
      </c>
    </row>
    <row r="22" spans="1:3" x14ac:dyDescent="0.3">
      <c r="A22" t="s">
        <v>96</v>
      </c>
      <c r="B22" s="7">
        <v>2766</v>
      </c>
      <c r="C22" s="7">
        <v>2501</v>
      </c>
    </row>
    <row r="23" spans="1:3" x14ac:dyDescent="0.3">
      <c r="A23" t="s">
        <v>97</v>
      </c>
      <c r="B23" s="7">
        <v>609</v>
      </c>
      <c r="C23" s="7">
        <v>-214</v>
      </c>
    </row>
    <row r="24" spans="1:3" x14ac:dyDescent="0.3">
      <c r="A24" s="8" t="s">
        <v>98</v>
      </c>
      <c r="B24" s="9">
        <v>3375</v>
      </c>
      <c r="C24" s="9">
        <v>2287</v>
      </c>
    </row>
    <row r="25" spans="1:3" x14ac:dyDescent="0.3">
      <c r="A25" s="8" t="s">
        <v>99</v>
      </c>
      <c r="B25" s="9">
        <v>12632</v>
      </c>
      <c r="C25" s="9">
        <v>10688</v>
      </c>
    </row>
    <row r="26" spans="1:3" x14ac:dyDescent="0.3">
      <c r="A26" s="6" t="s">
        <v>100</v>
      </c>
    </row>
    <row r="27" spans="1:3" x14ac:dyDescent="0.3">
      <c r="A27" t="s">
        <v>380</v>
      </c>
      <c r="B27" s="7">
        <v>-85</v>
      </c>
      <c r="C27" s="7">
        <v>9</v>
      </c>
    </row>
    <row r="28" spans="1:3" x14ac:dyDescent="0.3">
      <c r="A28" t="s">
        <v>381</v>
      </c>
      <c r="B28" s="7">
        <v>122</v>
      </c>
      <c r="C28" s="7">
        <v>-213</v>
      </c>
    </row>
    <row r="29" spans="1:3" x14ac:dyDescent="0.3">
      <c r="A29" t="s">
        <v>103</v>
      </c>
      <c r="B29" s="7">
        <v>-67</v>
      </c>
      <c r="C29" s="7">
        <v>27</v>
      </c>
    </row>
    <row r="30" spans="1:3" x14ac:dyDescent="0.3">
      <c r="A30" s="8" t="s">
        <v>104</v>
      </c>
      <c r="B30" s="9">
        <v>-30</v>
      </c>
      <c r="C30" s="9">
        <v>-177</v>
      </c>
    </row>
    <row r="31" spans="1:3" x14ac:dyDescent="0.3">
      <c r="A31" s="10" t="s">
        <v>105</v>
      </c>
      <c r="B31" s="11">
        <v>12602</v>
      </c>
      <c r="C31" s="11">
        <v>10511</v>
      </c>
    </row>
    <row r="32" spans="1:3" x14ac:dyDescent="0.3">
      <c r="A32" s="6" t="s">
        <v>106</v>
      </c>
    </row>
    <row r="33" spans="1:3" x14ac:dyDescent="0.3">
      <c r="A33" t="s">
        <v>107</v>
      </c>
      <c r="B33" s="7">
        <v>483662163</v>
      </c>
      <c r="C33" s="7">
        <v>483662163</v>
      </c>
    </row>
    <row r="34" spans="1:3" x14ac:dyDescent="0.3">
      <c r="A34" t="s">
        <v>108</v>
      </c>
      <c r="B34" s="7">
        <v>26.12</v>
      </c>
      <c r="C34" s="7">
        <v>22.1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5"/>
  <sheetViews>
    <sheetView workbookViewId="0">
      <pane ySplit="4" topLeftCell="A5" activePane="bottomLeft" state="frozen"/>
      <selection pane="bottomLeft" activeCell="A6" sqref="A6:A55"/>
    </sheetView>
  </sheetViews>
  <sheetFormatPr defaultRowHeight="14.4" x14ac:dyDescent="0.3"/>
  <cols>
    <col min="1" max="1" width="58" customWidth="1"/>
    <col min="2" max="3" width="18" customWidth="1"/>
    <col min="4" max="4" width="4" customWidth="1"/>
  </cols>
  <sheetData>
    <row r="1" spans="1:3" ht="17.399999999999999" x14ac:dyDescent="0.35">
      <c r="A1" s="1" t="s">
        <v>30</v>
      </c>
    </row>
    <row r="2" spans="1:3" x14ac:dyDescent="0.3">
      <c r="A2" s="2" t="s">
        <v>109</v>
      </c>
    </row>
    <row r="3" spans="1:3" x14ac:dyDescent="0.3">
      <c r="A3" s="3" t="s">
        <v>510</v>
      </c>
    </row>
    <row r="4" spans="1:3" x14ac:dyDescent="0.3">
      <c r="A4" s="4" t="s">
        <v>33</v>
      </c>
    </row>
    <row r="6" spans="1:3" x14ac:dyDescent="0.3">
      <c r="A6" s="2" t="s">
        <v>34</v>
      </c>
      <c r="B6" s="5" t="s">
        <v>506</v>
      </c>
      <c r="C6" s="5" t="s">
        <v>457</v>
      </c>
    </row>
    <row r="7" spans="1:3" x14ac:dyDescent="0.3">
      <c r="A7" s="6" t="s">
        <v>111</v>
      </c>
    </row>
    <row r="8" spans="1:3" x14ac:dyDescent="0.3">
      <c r="A8" t="s">
        <v>94</v>
      </c>
      <c r="B8" s="7">
        <v>16007</v>
      </c>
      <c r="C8" s="7">
        <v>12975</v>
      </c>
    </row>
    <row r="9" spans="1:3" x14ac:dyDescent="0.3">
      <c r="A9" t="s">
        <v>112</v>
      </c>
      <c r="B9" s="7">
        <v>1830</v>
      </c>
      <c r="C9" s="7">
        <v>1151</v>
      </c>
    </row>
    <row r="10" spans="1:3" x14ac:dyDescent="0.3">
      <c r="A10" t="s">
        <v>113</v>
      </c>
      <c r="B10" s="7">
        <v>1478</v>
      </c>
      <c r="C10" s="7">
        <v>1254</v>
      </c>
    </row>
    <row r="11" spans="1:3" x14ac:dyDescent="0.3">
      <c r="A11" t="s">
        <v>511</v>
      </c>
      <c r="B11" s="7">
        <v>-174</v>
      </c>
      <c r="C11" s="7">
        <v>0</v>
      </c>
    </row>
    <row r="12" spans="1:3" x14ac:dyDescent="0.3">
      <c r="A12" t="s">
        <v>115</v>
      </c>
      <c r="B12" s="7">
        <v>-4008</v>
      </c>
      <c r="C12" s="7">
        <v>-3258</v>
      </c>
    </row>
    <row r="13" spans="1:3" x14ac:dyDescent="0.3">
      <c r="A13" t="s">
        <v>116</v>
      </c>
      <c r="B13" s="7">
        <v>-2729</v>
      </c>
      <c r="C13" s="7">
        <v>-1397</v>
      </c>
    </row>
    <row r="14" spans="1:3" x14ac:dyDescent="0.3">
      <c r="A14" t="s">
        <v>117</v>
      </c>
      <c r="B14" s="7">
        <v>-1392</v>
      </c>
      <c r="C14" s="7">
        <v>-2206</v>
      </c>
    </row>
    <row r="15" spans="1:3" x14ac:dyDescent="0.3">
      <c r="A15" t="s">
        <v>118</v>
      </c>
      <c r="B15" s="7">
        <v>-1</v>
      </c>
      <c r="C15" s="7">
        <v>-13</v>
      </c>
    </row>
    <row r="16" spans="1:3" x14ac:dyDescent="0.3">
      <c r="A16" t="s">
        <v>512</v>
      </c>
      <c r="B16" s="7">
        <v>-614</v>
      </c>
      <c r="C16" s="7">
        <v>0</v>
      </c>
    </row>
    <row r="17" spans="1:3" x14ac:dyDescent="0.3">
      <c r="A17" t="s">
        <v>119</v>
      </c>
      <c r="B17" s="7">
        <v>41</v>
      </c>
      <c r="C17" s="7">
        <v>102</v>
      </c>
    </row>
    <row r="18" spans="1:3" x14ac:dyDescent="0.3">
      <c r="A18" t="s">
        <v>120</v>
      </c>
      <c r="B18" s="7">
        <v>-93</v>
      </c>
      <c r="C18" s="7">
        <v>-116</v>
      </c>
    </row>
    <row r="19" spans="1:3" x14ac:dyDescent="0.3">
      <c r="A19" t="s">
        <v>121</v>
      </c>
      <c r="B19" s="7">
        <v>-439</v>
      </c>
      <c r="C19" s="7">
        <v>-595</v>
      </c>
    </row>
    <row r="20" spans="1:3" x14ac:dyDescent="0.3">
      <c r="A20" t="s">
        <v>122</v>
      </c>
      <c r="B20" s="7">
        <v>-323</v>
      </c>
      <c r="C20" s="7">
        <v>73</v>
      </c>
    </row>
    <row r="21" spans="1:3" x14ac:dyDescent="0.3">
      <c r="A21" t="s">
        <v>123</v>
      </c>
      <c r="B21" s="7">
        <v>1667</v>
      </c>
      <c r="C21" s="7">
        <v>547</v>
      </c>
    </row>
    <row r="22" spans="1:3" x14ac:dyDescent="0.3">
      <c r="A22" t="s">
        <v>124</v>
      </c>
      <c r="B22" s="7">
        <v>258</v>
      </c>
      <c r="C22" s="7">
        <v>870</v>
      </c>
    </row>
    <row r="23" spans="1:3" x14ac:dyDescent="0.3">
      <c r="A23" s="8" t="s">
        <v>125</v>
      </c>
      <c r="B23" s="9">
        <v>11508</v>
      </c>
      <c r="C23" s="9">
        <v>9387</v>
      </c>
    </row>
    <row r="24" spans="1:3" x14ac:dyDescent="0.3">
      <c r="A24" t="s">
        <v>126</v>
      </c>
      <c r="B24" s="7">
        <v>-2887</v>
      </c>
      <c r="C24" s="7">
        <v>-2513</v>
      </c>
    </row>
    <row r="25" spans="1:3" x14ac:dyDescent="0.3">
      <c r="A25" s="8" t="s">
        <v>127</v>
      </c>
      <c r="B25" s="9">
        <v>8621</v>
      </c>
      <c r="C25" s="9">
        <v>6874</v>
      </c>
    </row>
    <row r="26" spans="1:3" x14ac:dyDescent="0.3">
      <c r="A26" s="6" t="s">
        <v>128</v>
      </c>
    </row>
    <row r="27" spans="1:3" x14ac:dyDescent="0.3">
      <c r="A27" t="s">
        <v>129</v>
      </c>
      <c r="B27" s="7">
        <v>-861</v>
      </c>
      <c r="C27" s="7">
        <v>-1428</v>
      </c>
    </row>
    <row r="28" spans="1:3" x14ac:dyDescent="0.3">
      <c r="A28" t="s">
        <v>130</v>
      </c>
      <c r="B28" s="7">
        <v>28</v>
      </c>
      <c r="C28" s="7">
        <v>13</v>
      </c>
    </row>
    <row r="29" spans="1:3" x14ac:dyDescent="0.3">
      <c r="A29" t="s">
        <v>131</v>
      </c>
      <c r="B29" s="7">
        <v>-150</v>
      </c>
      <c r="C29" s="7">
        <v>-5</v>
      </c>
    </row>
    <row r="30" spans="1:3" x14ac:dyDescent="0.3">
      <c r="A30" t="s">
        <v>513</v>
      </c>
      <c r="B30" s="7">
        <v>-75423</v>
      </c>
      <c r="C30" s="7">
        <v>-104591</v>
      </c>
    </row>
    <row r="31" spans="1:3" x14ac:dyDescent="0.3">
      <c r="A31" t="s">
        <v>514</v>
      </c>
      <c r="B31" s="7">
        <v>72957</v>
      </c>
      <c r="C31" s="7">
        <v>95771</v>
      </c>
    </row>
    <row r="32" spans="1:3" x14ac:dyDescent="0.3">
      <c r="A32" t="s">
        <v>135</v>
      </c>
      <c r="B32" s="7">
        <v>1495</v>
      </c>
      <c r="C32" s="7">
        <v>2217</v>
      </c>
    </row>
    <row r="33" spans="1:3" x14ac:dyDescent="0.3">
      <c r="A33" t="s">
        <v>515</v>
      </c>
      <c r="B33" s="7">
        <v>-3388</v>
      </c>
      <c r="C33" s="7">
        <v>0</v>
      </c>
    </row>
    <row r="34" spans="1:3" x14ac:dyDescent="0.3">
      <c r="A34" t="s">
        <v>136</v>
      </c>
      <c r="B34" s="7">
        <v>0</v>
      </c>
      <c r="C34" s="7">
        <v>-572</v>
      </c>
    </row>
    <row r="35" spans="1:3" x14ac:dyDescent="0.3">
      <c r="A35" t="s">
        <v>137</v>
      </c>
      <c r="B35" s="7">
        <v>-620</v>
      </c>
      <c r="C35" s="7">
        <v>-3313</v>
      </c>
    </row>
    <row r="36" spans="1:3" x14ac:dyDescent="0.3">
      <c r="A36" t="s">
        <v>516</v>
      </c>
      <c r="B36" s="7">
        <v>48</v>
      </c>
      <c r="C36" s="7">
        <v>0</v>
      </c>
    </row>
    <row r="37" spans="1:3" x14ac:dyDescent="0.3">
      <c r="A37" t="s">
        <v>517</v>
      </c>
      <c r="B37" s="7">
        <v>3235</v>
      </c>
      <c r="C37" s="7">
        <v>2389</v>
      </c>
    </row>
    <row r="38" spans="1:3" x14ac:dyDescent="0.3">
      <c r="A38" t="s">
        <v>518</v>
      </c>
      <c r="B38" s="7">
        <v>70</v>
      </c>
      <c r="C38" s="7">
        <v>71</v>
      </c>
    </row>
    <row r="39" spans="1:3" x14ac:dyDescent="0.3">
      <c r="A39" s="8" t="s">
        <v>140</v>
      </c>
      <c r="B39" s="9">
        <v>-2609</v>
      </c>
      <c r="C39" s="9">
        <v>-9448</v>
      </c>
    </row>
    <row r="40" spans="1:3" x14ac:dyDescent="0.3">
      <c r="A40" s="6" t="s">
        <v>141</v>
      </c>
    </row>
    <row r="41" spans="1:3" x14ac:dyDescent="0.3">
      <c r="A41" t="s">
        <v>142</v>
      </c>
      <c r="B41" s="7">
        <v>-1608</v>
      </c>
      <c r="C41" s="7">
        <v>-1242</v>
      </c>
    </row>
    <row r="42" spans="1:3" x14ac:dyDescent="0.3">
      <c r="A42" t="s">
        <v>519</v>
      </c>
      <c r="B42" s="7">
        <v>-733</v>
      </c>
      <c r="C42" s="7">
        <v>-234</v>
      </c>
    </row>
    <row r="43" spans="1:3" x14ac:dyDescent="0.3">
      <c r="A43" t="s">
        <v>520</v>
      </c>
      <c r="B43" s="7">
        <v>7481</v>
      </c>
      <c r="C43" s="7">
        <v>11174</v>
      </c>
    </row>
    <row r="44" spans="1:3" x14ac:dyDescent="0.3">
      <c r="A44" t="s">
        <v>521</v>
      </c>
      <c r="B44" s="7">
        <v>-123</v>
      </c>
      <c r="C44" s="7">
        <v>-101</v>
      </c>
    </row>
    <row r="45" spans="1:3" x14ac:dyDescent="0.3">
      <c r="A45" t="s">
        <v>522</v>
      </c>
      <c r="B45" s="7">
        <v>-9317</v>
      </c>
      <c r="C45" s="7">
        <v>-8168</v>
      </c>
    </row>
    <row r="46" spans="1:3" x14ac:dyDescent="0.3">
      <c r="A46" s="8" t="s">
        <v>146</v>
      </c>
      <c r="B46" s="9">
        <v>-4300</v>
      </c>
      <c r="C46" s="9">
        <v>1429</v>
      </c>
    </row>
    <row r="47" spans="1:3" x14ac:dyDescent="0.3">
      <c r="A47" s="8" t="s">
        <v>147</v>
      </c>
      <c r="B47" s="9">
        <v>1712</v>
      </c>
      <c r="C47" s="9">
        <v>-1145</v>
      </c>
    </row>
    <row r="48" spans="1:3" x14ac:dyDescent="0.3">
      <c r="A48" t="s">
        <v>148</v>
      </c>
      <c r="B48" s="7">
        <v>1597</v>
      </c>
      <c r="C48" s="7">
        <v>2742</v>
      </c>
    </row>
    <row r="49" spans="1:3" x14ac:dyDescent="0.3">
      <c r="A49" s="10" t="s">
        <v>149</v>
      </c>
      <c r="B49" s="11">
        <v>3309</v>
      </c>
      <c r="C49" s="11">
        <v>1597</v>
      </c>
    </row>
    <row r="50" spans="1:3" x14ac:dyDescent="0.3">
      <c r="A50" s="6" t="s">
        <v>150</v>
      </c>
    </row>
    <row r="51" spans="1:3" x14ac:dyDescent="0.3">
      <c r="A51" t="s">
        <v>151</v>
      </c>
      <c r="B51" s="7">
        <v>314</v>
      </c>
      <c r="C51" s="7">
        <v>262</v>
      </c>
    </row>
    <row r="52" spans="1:3" x14ac:dyDescent="0.3">
      <c r="A52" t="s">
        <v>152</v>
      </c>
      <c r="B52" s="7">
        <v>1300</v>
      </c>
      <c r="C52" s="7">
        <v>0</v>
      </c>
    </row>
    <row r="53" spans="1:3" x14ac:dyDescent="0.3">
      <c r="A53" t="s">
        <v>153</v>
      </c>
      <c r="B53" s="7">
        <v>1295</v>
      </c>
      <c r="C53" s="7">
        <v>1184</v>
      </c>
    </row>
    <row r="54" spans="1:3" x14ac:dyDescent="0.3">
      <c r="A54" t="s">
        <v>154</v>
      </c>
      <c r="B54" s="7">
        <v>400</v>
      </c>
      <c r="C54" s="7">
        <v>151</v>
      </c>
    </row>
    <row r="55" spans="1:3" x14ac:dyDescent="0.3">
      <c r="A55" t="s">
        <v>155</v>
      </c>
      <c r="B55" s="7">
        <v>0</v>
      </c>
      <c r="C55" s="7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31"/>
  <sheetViews>
    <sheetView workbookViewId="0">
      <pane ySplit="3" topLeftCell="A282" activePane="bottomLeft" state="frozen"/>
      <selection pane="bottomLeft" activeCell="C295" sqref="C295"/>
    </sheetView>
  </sheetViews>
  <sheetFormatPr defaultRowHeight="14.4" x14ac:dyDescent="0.3"/>
  <cols>
    <col min="1" max="1" width="58" customWidth="1"/>
    <col min="2" max="3" width="18" customWidth="1"/>
    <col min="4" max="4" width="4" customWidth="1"/>
  </cols>
  <sheetData>
    <row r="1" spans="1:3" ht="17.399999999999999" x14ac:dyDescent="0.35">
      <c r="A1" s="1" t="s">
        <v>30</v>
      </c>
    </row>
    <row r="2" spans="1:3" x14ac:dyDescent="0.3">
      <c r="A2" s="2" t="s">
        <v>156</v>
      </c>
    </row>
    <row r="3" spans="1:3" x14ac:dyDescent="0.3">
      <c r="A3" s="3" t="s">
        <v>523</v>
      </c>
    </row>
    <row r="4" spans="1:3" x14ac:dyDescent="0.3">
      <c r="A4" s="4" t="s">
        <v>33</v>
      </c>
    </row>
    <row r="6" spans="1:3" x14ac:dyDescent="0.3">
      <c r="A6" s="2" t="s">
        <v>158</v>
      </c>
    </row>
    <row r="7" spans="1:3" x14ac:dyDescent="0.3">
      <c r="A7" s="2"/>
      <c r="B7" s="5" t="s">
        <v>506</v>
      </c>
      <c r="C7" s="5" t="s">
        <v>457</v>
      </c>
    </row>
    <row r="8" spans="1:3" x14ac:dyDescent="0.3">
      <c r="A8" t="s">
        <v>159</v>
      </c>
      <c r="B8" s="7">
        <v>527</v>
      </c>
      <c r="C8" s="7">
        <v>425</v>
      </c>
    </row>
    <row r="9" spans="1:3" x14ac:dyDescent="0.3">
      <c r="A9" t="s">
        <v>160</v>
      </c>
      <c r="B9" s="7">
        <v>3816</v>
      </c>
      <c r="C9" s="7">
        <v>3803</v>
      </c>
    </row>
    <row r="10" spans="1:3" x14ac:dyDescent="0.3">
      <c r="A10" t="s">
        <v>161</v>
      </c>
      <c r="B10" s="7">
        <v>5085</v>
      </c>
      <c r="C10" s="7">
        <v>5287</v>
      </c>
    </row>
    <row r="11" spans="1:3" x14ac:dyDescent="0.3">
      <c r="A11" t="s">
        <v>162</v>
      </c>
      <c r="B11" s="7">
        <v>152</v>
      </c>
      <c r="C11" s="7">
        <v>149</v>
      </c>
    </row>
    <row r="12" spans="1:3" x14ac:dyDescent="0.3">
      <c r="A12" t="s">
        <v>163</v>
      </c>
      <c r="B12" s="7">
        <v>132</v>
      </c>
      <c r="C12" s="7">
        <v>122</v>
      </c>
    </row>
    <row r="13" spans="1:3" x14ac:dyDescent="0.3">
      <c r="A13" t="s">
        <v>164</v>
      </c>
      <c r="B13" s="7">
        <v>12</v>
      </c>
      <c r="C13" s="7">
        <v>7</v>
      </c>
    </row>
    <row r="14" spans="1:3" x14ac:dyDescent="0.3">
      <c r="A14" s="8" t="s">
        <v>165</v>
      </c>
      <c r="B14" s="9">
        <v>9724</v>
      </c>
      <c r="C14" s="9">
        <v>9793</v>
      </c>
    </row>
    <row r="16" spans="1:3" x14ac:dyDescent="0.3">
      <c r="A16" s="2" t="s">
        <v>385</v>
      </c>
    </row>
    <row r="17" spans="1:3" x14ac:dyDescent="0.3">
      <c r="A17" s="2"/>
      <c r="B17" s="5" t="s">
        <v>506</v>
      </c>
      <c r="C17" s="5" t="s">
        <v>457</v>
      </c>
    </row>
    <row r="18" spans="1:3" x14ac:dyDescent="0.3">
      <c r="A18" t="s">
        <v>386</v>
      </c>
      <c r="B18" s="7">
        <v>119</v>
      </c>
      <c r="C18" s="7">
        <v>172</v>
      </c>
    </row>
    <row r="19" spans="1:3" x14ac:dyDescent="0.3">
      <c r="A19" t="s">
        <v>387</v>
      </c>
      <c r="B19" s="7">
        <v>15</v>
      </c>
      <c r="C19" s="7">
        <v>16</v>
      </c>
    </row>
    <row r="20" spans="1:3" x14ac:dyDescent="0.3">
      <c r="A20" t="s">
        <v>388</v>
      </c>
      <c r="B20" s="7">
        <v>0</v>
      </c>
      <c r="C20" s="7">
        <v>7</v>
      </c>
    </row>
    <row r="21" spans="1:3" x14ac:dyDescent="0.3">
      <c r="A21" t="s">
        <v>389</v>
      </c>
      <c r="B21" s="7">
        <v>7</v>
      </c>
      <c r="C21" s="7">
        <v>0</v>
      </c>
    </row>
    <row r="22" spans="1:3" x14ac:dyDescent="0.3">
      <c r="A22" s="8" t="s">
        <v>390</v>
      </c>
      <c r="B22" s="9">
        <v>141</v>
      </c>
      <c r="C22" s="9">
        <v>195</v>
      </c>
    </row>
    <row r="23" spans="1:3" x14ac:dyDescent="0.3">
      <c r="A23" s="4" t="s">
        <v>524</v>
      </c>
    </row>
    <row r="25" spans="1:3" x14ac:dyDescent="0.3">
      <c r="A25" s="2" t="s">
        <v>391</v>
      </c>
    </row>
    <row r="26" spans="1:3" x14ac:dyDescent="0.3">
      <c r="A26" s="2"/>
      <c r="B26" s="5" t="s">
        <v>506</v>
      </c>
      <c r="C26" s="5" t="s">
        <v>457</v>
      </c>
    </row>
    <row r="27" spans="1:3" x14ac:dyDescent="0.3">
      <c r="A27" t="s">
        <v>159</v>
      </c>
      <c r="B27" s="7">
        <v>714</v>
      </c>
      <c r="C27" s="7">
        <v>699</v>
      </c>
    </row>
    <row r="28" spans="1:3" x14ac:dyDescent="0.3">
      <c r="A28" t="s">
        <v>160</v>
      </c>
      <c r="B28" s="7">
        <v>62</v>
      </c>
      <c r="C28" s="7">
        <v>96</v>
      </c>
    </row>
    <row r="29" spans="1:3" x14ac:dyDescent="0.3">
      <c r="A29" t="s">
        <v>162</v>
      </c>
      <c r="B29" s="7">
        <v>31</v>
      </c>
      <c r="C29" s="7">
        <v>1</v>
      </c>
    </row>
    <row r="30" spans="1:3" x14ac:dyDescent="0.3">
      <c r="A30" t="s">
        <v>164</v>
      </c>
      <c r="B30" s="7">
        <v>3</v>
      </c>
      <c r="C30" s="7">
        <v>4</v>
      </c>
    </row>
    <row r="31" spans="1:3" x14ac:dyDescent="0.3">
      <c r="A31" s="8" t="s">
        <v>165</v>
      </c>
      <c r="B31" s="9">
        <v>810</v>
      </c>
      <c r="C31" s="9">
        <v>800</v>
      </c>
    </row>
    <row r="33" spans="1:3" x14ac:dyDescent="0.3">
      <c r="A33" s="2" t="s">
        <v>392</v>
      </c>
    </row>
    <row r="34" spans="1:3" x14ac:dyDescent="0.3">
      <c r="A34" s="2"/>
      <c r="B34" s="5" t="s">
        <v>506</v>
      </c>
      <c r="C34" s="5" t="s">
        <v>457</v>
      </c>
    </row>
    <row r="35" spans="1:3" x14ac:dyDescent="0.3">
      <c r="A35" t="s">
        <v>169</v>
      </c>
      <c r="B35" s="7">
        <v>362</v>
      </c>
      <c r="C35" s="7">
        <v>362</v>
      </c>
    </row>
    <row r="36" spans="1:3" x14ac:dyDescent="0.3">
      <c r="A36" t="s">
        <v>525</v>
      </c>
      <c r="B36" s="7">
        <v>906</v>
      </c>
      <c r="C36" s="7">
        <v>0</v>
      </c>
    </row>
    <row r="37" spans="1:3" x14ac:dyDescent="0.3">
      <c r="A37" s="8" t="s">
        <v>171</v>
      </c>
      <c r="B37" s="9">
        <v>1268</v>
      </c>
      <c r="C37" s="9">
        <v>362</v>
      </c>
    </row>
    <row r="38" spans="1:3" x14ac:dyDescent="0.3">
      <c r="A38" s="4" t="s">
        <v>526</v>
      </c>
    </row>
    <row r="40" spans="1:3" x14ac:dyDescent="0.3">
      <c r="A40" s="2" t="s">
        <v>467</v>
      </c>
    </row>
    <row r="41" spans="1:3" x14ac:dyDescent="0.3">
      <c r="A41" s="2"/>
      <c r="B41" s="5" t="s">
        <v>506</v>
      </c>
      <c r="C41" s="5" t="s">
        <v>457</v>
      </c>
    </row>
    <row r="42" spans="1:3" x14ac:dyDescent="0.3">
      <c r="A42" t="s">
        <v>468</v>
      </c>
      <c r="B42" s="7">
        <v>28085</v>
      </c>
      <c r="C42" s="7">
        <v>28133</v>
      </c>
    </row>
    <row r="43" spans="1:3" x14ac:dyDescent="0.3">
      <c r="A43" t="s">
        <v>469</v>
      </c>
      <c r="B43" s="7">
        <v>2170</v>
      </c>
      <c r="C43" s="7">
        <v>2140</v>
      </c>
    </row>
    <row r="44" spans="1:3" x14ac:dyDescent="0.3">
      <c r="A44" t="s">
        <v>527</v>
      </c>
      <c r="B44" s="7">
        <v>729</v>
      </c>
      <c r="C44" s="7">
        <v>735</v>
      </c>
    </row>
    <row r="45" spans="1:3" x14ac:dyDescent="0.3">
      <c r="A45" t="s">
        <v>471</v>
      </c>
      <c r="B45" s="7">
        <v>475</v>
      </c>
      <c r="C45" s="7">
        <v>595</v>
      </c>
    </row>
    <row r="46" spans="1:3" x14ac:dyDescent="0.3">
      <c r="A46" t="s">
        <v>472</v>
      </c>
      <c r="B46" s="7">
        <v>778</v>
      </c>
      <c r="C46" s="7">
        <v>604</v>
      </c>
    </row>
    <row r="47" spans="1:3" x14ac:dyDescent="0.3">
      <c r="A47" t="s">
        <v>528</v>
      </c>
      <c r="B47" s="7">
        <v>213</v>
      </c>
      <c r="C47" s="7">
        <v>1</v>
      </c>
    </row>
    <row r="48" spans="1:3" x14ac:dyDescent="0.3">
      <c r="A48" t="s">
        <v>474</v>
      </c>
      <c r="B48" s="7">
        <v>276</v>
      </c>
      <c r="C48" s="7">
        <v>257</v>
      </c>
    </row>
    <row r="49" spans="1:3" x14ac:dyDescent="0.3">
      <c r="A49" t="s">
        <v>475</v>
      </c>
      <c r="B49" s="7">
        <v>450</v>
      </c>
      <c r="C49" s="7">
        <v>950</v>
      </c>
    </row>
    <row r="50" spans="1:3" x14ac:dyDescent="0.3">
      <c r="A50" s="8" t="s">
        <v>476</v>
      </c>
      <c r="B50" s="9">
        <v>33176</v>
      </c>
      <c r="C50" s="9">
        <v>33415</v>
      </c>
    </row>
    <row r="51" spans="1:3" x14ac:dyDescent="0.3">
      <c r="A51" t="s">
        <v>477</v>
      </c>
      <c r="B51" s="7">
        <v>29132</v>
      </c>
      <c r="C51" s="7">
        <v>34294</v>
      </c>
    </row>
    <row r="52" spans="1:3" x14ac:dyDescent="0.3">
      <c r="A52" t="s">
        <v>478</v>
      </c>
      <c r="B52" s="7">
        <v>0</v>
      </c>
      <c r="C52" s="7">
        <v>2108</v>
      </c>
    </row>
    <row r="53" spans="1:3" x14ac:dyDescent="0.3">
      <c r="A53" t="s">
        <v>529</v>
      </c>
      <c r="B53" s="7">
        <v>420</v>
      </c>
      <c r="C53" s="7">
        <v>0</v>
      </c>
    </row>
    <row r="54" spans="1:3" x14ac:dyDescent="0.3">
      <c r="A54" t="s">
        <v>479</v>
      </c>
      <c r="B54" s="7">
        <v>51</v>
      </c>
      <c r="C54" s="7">
        <v>50</v>
      </c>
    </row>
    <row r="55" spans="1:3" x14ac:dyDescent="0.3">
      <c r="A55" t="s">
        <v>530</v>
      </c>
      <c r="B55" s="7">
        <v>10936</v>
      </c>
      <c r="C55" s="7">
        <v>0</v>
      </c>
    </row>
    <row r="56" spans="1:3" x14ac:dyDescent="0.3">
      <c r="A56" t="s">
        <v>531</v>
      </c>
      <c r="B56" s="7">
        <v>25</v>
      </c>
      <c r="C56" s="7">
        <v>0</v>
      </c>
    </row>
    <row r="57" spans="1:3" x14ac:dyDescent="0.3">
      <c r="A57" t="s">
        <v>532</v>
      </c>
      <c r="B57" s="7">
        <v>77</v>
      </c>
      <c r="C57" s="7">
        <v>0</v>
      </c>
    </row>
    <row r="58" spans="1:3" x14ac:dyDescent="0.3">
      <c r="A58" t="s">
        <v>480</v>
      </c>
      <c r="B58" s="7">
        <v>32691</v>
      </c>
      <c r="C58" s="7">
        <v>30662</v>
      </c>
    </row>
    <row r="59" spans="1:3" x14ac:dyDescent="0.3">
      <c r="A59" s="8" t="s">
        <v>481</v>
      </c>
      <c r="B59" s="9">
        <v>73332</v>
      </c>
      <c r="C59" s="9">
        <v>67114</v>
      </c>
    </row>
    <row r="60" spans="1:3" x14ac:dyDescent="0.3">
      <c r="A60" t="s">
        <v>187</v>
      </c>
      <c r="B60" s="7">
        <v>44123</v>
      </c>
      <c r="C60" s="7">
        <v>32820</v>
      </c>
    </row>
    <row r="61" spans="1:3" x14ac:dyDescent="0.3">
      <c r="A61" t="s">
        <v>188</v>
      </c>
      <c r="B61" s="7">
        <v>62385</v>
      </c>
      <c r="C61" s="7">
        <v>67709</v>
      </c>
    </row>
    <row r="62" spans="1:3" x14ac:dyDescent="0.3">
      <c r="A62" t="s">
        <v>189</v>
      </c>
      <c r="B62" s="7">
        <v>0</v>
      </c>
      <c r="C62" s="7">
        <v>0</v>
      </c>
    </row>
    <row r="64" spans="1:3" x14ac:dyDescent="0.3">
      <c r="A64" s="2" t="s">
        <v>482</v>
      </c>
    </row>
    <row r="65" spans="1:3" x14ac:dyDescent="0.3">
      <c r="A65" s="2"/>
      <c r="B65" s="5" t="s">
        <v>506</v>
      </c>
      <c r="C65" s="5" t="s">
        <v>457</v>
      </c>
    </row>
    <row r="66" spans="1:3" x14ac:dyDescent="0.3">
      <c r="A66" t="s">
        <v>192</v>
      </c>
      <c r="B66" s="7">
        <v>18265</v>
      </c>
      <c r="C66" s="7">
        <v>15048</v>
      </c>
    </row>
    <row r="67" spans="1:3" x14ac:dyDescent="0.3">
      <c r="A67" t="s">
        <v>406</v>
      </c>
      <c r="B67" s="7">
        <v>2727</v>
      </c>
      <c r="C67" s="7">
        <v>5324</v>
      </c>
    </row>
    <row r="69" spans="1:3" x14ac:dyDescent="0.3">
      <c r="A69" s="2" t="s">
        <v>407</v>
      </c>
    </row>
    <row r="70" spans="1:3" x14ac:dyDescent="0.3">
      <c r="A70" s="2"/>
      <c r="B70" s="5" t="s">
        <v>506</v>
      </c>
      <c r="C70" s="5" t="s">
        <v>457</v>
      </c>
    </row>
    <row r="71" spans="1:3" x14ac:dyDescent="0.3">
      <c r="A71" t="s">
        <v>191</v>
      </c>
      <c r="B71" s="7">
        <v>4</v>
      </c>
      <c r="C71" s="7">
        <v>4</v>
      </c>
    </row>
    <row r="72" spans="1:3" x14ac:dyDescent="0.3">
      <c r="A72" t="s">
        <v>199</v>
      </c>
      <c r="B72" s="7">
        <v>102</v>
      </c>
      <c r="C72" s="7">
        <v>0</v>
      </c>
    </row>
    <row r="73" spans="1:3" x14ac:dyDescent="0.3">
      <c r="A73" s="8" t="s">
        <v>193</v>
      </c>
      <c r="B73" s="9">
        <v>106</v>
      </c>
      <c r="C73" s="9">
        <v>4</v>
      </c>
    </row>
    <row r="74" spans="1:3" x14ac:dyDescent="0.3">
      <c r="A74" t="s">
        <v>194</v>
      </c>
      <c r="B74" s="7">
        <v>137</v>
      </c>
      <c r="C74" s="7">
        <v>123</v>
      </c>
    </row>
    <row r="75" spans="1:3" x14ac:dyDescent="0.3">
      <c r="A75" t="s">
        <v>201</v>
      </c>
      <c r="B75" s="7">
        <v>394</v>
      </c>
      <c r="C75" s="7">
        <v>638</v>
      </c>
    </row>
    <row r="76" spans="1:3" x14ac:dyDescent="0.3">
      <c r="A76" t="s">
        <v>202</v>
      </c>
      <c r="B76" s="7">
        <v>6</v>
      </c>
      <c r="C76" s="7">
        <v>16</v>
      </c>
    </row>
    <row r="77" spans="1:3" x14ac:dyDescent="0.3">
      <c r="A77" t="s">
        <v>196</v>
      </c>
      <c r="B77" s="7">
        <v>746</v>
      </c>
      <c r="C77" s="7">
        <v>656</v>
      </c>
    </row>
    <row r="78" spans="1:3" x14ac:dyDescent="0.3">
      <c r="A78" t="s">
        <v>483</v>
      </c>
      <c r="B78" s="7">
        <v>0</v>
      </c>
      <c r="C78" s="7">
        <v>500</v>
      </c>
    </row>
    <row r="79" spans="1:3" x14ac:dyDescent="0.3">
      <c r="A79" t="s">
        <v>203</v>
      </c>
      <c r="B79" s="7">
        <v>36</v>
      </c>
      <c r="C79" s="7">
        <v>84</v>
      </c>
    </row>
    <row r="80" spans="1:3" x14ac:dyDescent="0.3">
      <c r="A80" s="8" t="s">
        <v>197</v>
      </c>
      <c r="B80" s="9">
        <v>1319</v>
      </c>
      <c r="C80" s="9">
        <v>2017</v>
      </c>
    </row>
    <row r="82" spans="1:3" x14ac:dyDescent="0.3">
      <c r="A82" s="2" t="s">
        <v>409</v>
      </c>
    </row>
    <row r="83" spans="1:3" x14ac:dyDescent="0.3">
      <c r="A83" s="2"/>
      <c r="B83" s="5" t="s">
        <v>506</v>
      </c>
      <c r="C83" s="5" t="s">
        <v>457</v>
      </c>
    </row>
    <row r="84" spans="1:3" x14ac:dyDescent="0.3">
      <c r="A84" t="s">
        <v>205</v>
      </c>
      <c r="B84" s="7">
        <v>26</v>
      </c>
      <c r="C84" s="7">
        <v>72</v>
      </c>
    </row>
    <row r="85" spans="1:3" x14ac:dyDescent="0.3">
      <c r="A85" t="s">
        <v>206</v>
      </c>
      <c r="B85" s="7">
        <v>14</v>
      </c>
      <c r="C85" s="7">
        <v>5</v>
      </c>
    </row>
    <row r="86" spans="1:3" x14ac:dyDescent="0.3">
      <c r="A86" t="s">
        <v>485</v>
      </c>
      <c r="B86" s="7">
        <v>1088</v>
      </c>
      <c r="C86" s="7">
        <v>796</v>
      </c>
    </row>
    <row r="87" spans="1:3" x14ac:dyDescent="0.3">
      <c r="A87" t="s">
        <v>207</v>
      </c>
      <c r="B87" s="7">
        <v>12</v>
      </c>
      <c r="C87" s="7">
        <v>21</v>
      </c>
    </row>
    <row r="88" spans="1:3" x14ac:dyDescent="0.3">
      <c r="A88" s="8" t="s">
        <v>193</v>
      </c>
      <c r="B88" s="9">
        <v>1140</v>
      </c>
      <c r="C88" s="9">
        <v>894</v>
      </c>
    </row>
    <row r="89" spans="1:3" x14ac:dyDescent="0.3">
      <c r="A89" t="s">
        <v>209</v>
      </c>
      <c r="B89" s="7">
        <v>594</v>
      </c>
      <c r="C89" s="7">
        <v>470</v>
      </c>
    </row>
    <row r="90" spans="1:3" x14ac:dyDescent="0.3">
      <c r="A90" t="s">
        <v>208</v>
      </c>
      <c r="B90" s="7">
        <v>972</v>
      </c>
      <c r="C90" s="7">
        <v>826</v>
      </c>
    </row>
    <row r="91" spans="1:3" x14ac:dyDescent="0.3">
      <c r="A91" t="s">
        <v>210</v>
      </c>
      <c r="B91" s="7">
        <v>176</v>
      </c>
      <c r="C91" s="7">
        <v>201</v>
      </c>
    </row>
    <row r="92" spans="1:3" x14ac:dyDescent="0.3">
      <c r="A92" t="s">
        <v>200</v>
      </c>
      <c r="B92" s="7">
        <v>46</v>
      </c>
      <c r="C92" s="7">
        <v>71</v>
      </c>
    </row>
    <row r="93" spans="1:3" x14ac:dyDescent="0.3">
      <c r="A93" t="s">
        <v>408</v>
      </c>
      <c r="B93" s="7">
        <v>275</v>
      </c>
      <c r="C93" s="7">
        <v>196</v>
      </c>
    </row>
    <row r="94" spans="1:3" x14ac:dyDescent="0.3">
      <c r="A94" s="8" t="s">
        <v>197</v>
      </c>
      <c r="B94" s="9">
        <v>2063</v>
      </c>
      <c r="C94" s="9">
        <v>1764</v>
      </c>
    </row>
    <row r="95" spans="1:3" x14ac:dyDescent="0.3">
      <c r="A95" t="s">
        <v>486</v>
      </c>
      <c r="B95" s="7">
        <v>53</v>
      </c>
      <c r="C95" s="7">
        <v>53</v>
      </c>
    </row>
    <row r="97" spans="1:3" x14ac:dyDescent="0.3">
      <c r="A97" s="2" t="s">
        <v>410</v>
      </c>
    </row>
    <row r="98" spans="1:3" x14ac:dyDescent="0.3">
      <c r="A98" s="2"/>
      <c r="B98" s="5" t="s">
        <v>506</v>
      </c>
      <c r="C98" s="5" t="s">
        <v>457</v>
      </c>
    </row>
    <row r="99" spans="1:3" x14ac:dyDescent="0.3">
      <c r="A99" t="s">
        <v>214</v>
      </c>
      <c r="B99" s="7">
        <v>2101</v>
      </c>
      <c r="C99" s="7">
        <v>3047</v>
      </c>
    </row>
    <row r="100" spans="1:3" x14ac:dyDescent="0.3">
      <c r="A100" t="s">
        <v>215</v>
      </c>
      <c r="B100" s="7">
        <v>1642</v>
      </c>
      <c r="C100" s="7">
        <v>2059</v>
      </c>
    </row>
    <row r="101" spans="1:3" x14ac:dyDescent="0.3">
      <c r="A101" t="s">
        <v>216</v>
      </c>
      <c r="B101" s="7">
        <v>1426</v>
      </c>
      <c r="C101" s="7">
        <v>1588</v>
      </c>
    </row>
    <row r="102" spans="1:3" x14ac:dyDescent="0.3">
      <c r="A102" t="s">
        <v>217</v>
      </c>
      <c r="B102" s="7">
        <v>877</v>
      </c>
      <c r="C102" s="7">
        <v>995</v>
      </c>
    </row>
    <row r="103" spans="1:3" x14ac:dyDescent="0.3">
      <c r="A103" t="s">
        <v>218</v>
      </c>
      <c r="B103" s="7">
        <v>356</v>
      </c>
      <c r="C103" s="7">
        <v>380</v>
      </c>
    </row>
    <row r="104" spans="1:3" x14ac:dyDescent="0.3">
      <c r="A104" s="8" t="s">
        <v>219</v>
      </c>
      <c r="B104" s="9">
        <v>6402</v>
      </c>
      <c r="C104" s="9">
        <v>8069</v>
      </c>
    </row>
    <row r="106" spans="1:3" x14ac:dyDescent="0.3">
      <c r="A106" s="2" t="s">
        <v>411</v>
      </c>
    </row>
    <row r="107" spans="1:3" x14ac:dyDescent="0.3">
      <c r="A107" s="2"/>
      <c r="B107" s="5" t="s">
        <v>506</v>
      </c>
      <c r="C107" s="5" t="s">
        <v>457</v>
      </c>
    </row>
    <row r="108" spans="1:3" x14ac:dyDescent="0.3">
      <c r="A108" t="s">
        <v>412</v>
      </c>
      <c r="B108" s="7">
        <v>45</v>
      </c>
      <c r="C108" s="7">
        <v>99</v>
      </c>
    </row>
    <row r="109" spans="1:3" x14ac:dyDescent="0.3">
      <c r="A109" t="s">
        <v>413</v>
      </c>
      <c r="B109" s="7">
        <v>7693</v>
      </c>
      <c r="C109" s="7">
        <v>7117</v>
      </c>
    </row>
    <row r="110" spans="1:3" x14ac:dyDescent="0.3">
      <c r="A110" t="s">
        <v>414</v>
      </c>
      <c r="B110" s="7">
        <v>128</v>
      </c>
      <c r="C110" s="7">
        <v>117</v>
      </c>
    </row>
    <row r="111" spans="1:3" x14ac:dyDescent="0.3">
      <c r="A111" t="s">
        <v>533</v>
      </c>
      <c r="B111" s="7">
        <v>-476</v>
      </c>
      <c r="C111" s="7">
        <v>-435</v>
      </c>
    </row>
    <row r="112" spans="1:3" x14ac:dyDescent="0.3">
      <c r="A112" s="8" t="s">
        <v>416</v>
      </c>
      <c r="B112" s="9">
        <v>7345</v>
      </c>
      <c r="C112" s="9">
        <v>6799</v>
      </c>
    </row>
    <row r="113" spans="1:3" x14ac:dyDescent="0.3">
      <c r="A113" t="s">
        <v>225</v>
      </c>
      <c r="B113" s="7">
        <v>435</v>
      </c>
      <c r="C113" s="7">
        <v>333</v>
      </c>
    </row>
    <row r="114" spans="1:3" x14ac:dyDescent="0.3">
      <c r="A114" t="s">
        <v>226</v>
      </c>
      <c r="B114" s="7">
        <v>57</v>
      </c>
      <c r="C114" s="7">
        <v>102</v>
      </c>
    </row>
    <row r="115" spans="1:3" x14ac:dyDescent="0.3">
      <c r="A115" t="s">
        <v>227</v>
      </c>
      <c r="B115" s="7">
        <v>-16</v>
      </c>
      <c r="C115" s="7">
        <v>0</v>
      </c>
    </row>
    <row r="116" spans="1:3" x14ac:dyDescent="0.3">
      <c r="A116" s="8" t="s">
        <v>228</v>
      </c>
      <c r="B116" s="9">
        <v>476</v>
      </c>
      <c r="C116" s="9">
        <v>435</v>
      </c>
    </row>
    <row r="118" spans="1:3" x14ac:dyDescent="0.3">
      <c r="A118" s="2" t="s">
        <v>417</v>
      </c>
    </row>
    <row r="119" spans="1:3" x14ac:dyDescent="0.3">
      <c r="A119" s="2"/>
      <c r="B119" s="5" t="s">
        <v>506</v>
      </c>
      <c r="C119" s="5" t="s">
        <v>457</v>
      </c>
    </row>
    <row r="120" spans="1:3" x14ac:dyDescent="0.3">
      <c r="A120" t="s">
        <v>534</v>
      </c>
      <c r="B120" s="7">
        <v>0</v>
      </c>
      <c r="C120" s="7">
        <v>1</v>
      </c>
    </row>
    <row r="121" spans="1:3" x14ac:dyDescent="0.3">
      <c r="A121" t="s">
        <v>535</v>
      </c>
      <c r="B121" s="7">
        <v>5</v>
      </c>
      <c r="C121" s="7">
        <v>0</v>
      </c>
    </row>
    <row r="123" spans="1:3" x14ac:dyDescent="0.3">
      <c r="A123" s="2" t="s">
        <v>418</v>
      </c>
    </row>
    <row r="124" spans="1:3" x14ac:dyDescent="0.3">
      <c r="A124" s="2"/>
      <c r="B124" s="5" t="s">
        <v>506</v>
      </c>
      <c r="C124" s="5" t="s">
        <v>457</v>
      </c>
    </row>
    <row r="125" spans="1:3" x14ac:dyDescent="0.3">
      <c r="A125" t="s">
        <v>234</v>
      </c>
      <c r="B125" s="7">
        <v>314</v>
      </c>
      <c r="C125" s="7">
        <v>262</v>
      </c>
    </row>
    <row r="126" spans="1:3" x14ac:dyDescent="0.3">
      <c r="A126" t="s">
        <v>235</v>
      </c>
      <c r="B126" s="7">
        <v>1300</v>
      </c>
      <c r="C126" s="7">
        <v>0</v>
      </c>
    </row>
    <row r="127" spans="1:3" x14ac:dyDescent="0.3">
      <c r="A127" t="s">
        <v>153</v>
      </c>
      <c r="B127" s="7">
        <v>1295</v>
      </c>
      <c r="C127" s="7">
        <v>1184</v>
      </c>
    </row>
    <row r="128" spans="1:3" x14ac:dyDescent="0.3">
      <c r="A128" t="s">
        <v>154</v>
      </c>
      <c r="B128" s="7">
        <v>400</v>
      </c>
      <c r="C128" s="7">
        <v>151</v>
      </c>
    </row>
    <row r="129" spans="1:3" x14ac:dyDescent="0.3">
      <c r="A129" s="8" t="s">
        <v>165</v>
      </c>
      <c r="B129" s="9">
        <v>3309</v>
      </c>
      <c r="C129" s="9">
        <v>1597</v>
      </c>
    </row>
    <row r="131" spans="1:3" x14ac:dyDescent="0.3">
      <c r="A131" s="2" t="s">
        <v>423</v>
      </c>
    </row>
    <row r="132" spans="1:3" x14ac:dyDescent="0.3">
      <c r="A132" s="2"/>
      <c r="B132" s="5" t="s">
        <v>506</v>
      </c>
      <c r="C132" s="5" t="s">
        <v>457</v>
      </c>
    </row>
    <row r="133" spans="1:3" x14ac:dyDescent="0.3">
      <c r="A133" t="s">
        <v>424</v>
      </c>
      <c r="B133" s="7">
        <v>9967</v>
      </c>
      <c r="C133" s="7">
        <v>12985</v>
      </c>
    </row>
    <row r="134" spans="1:3" x14ac:dyDescent="0.3">
      <c r="A134" t="s">
        <v>425</v>
      </c>
      <c r="B134" s="7">
        <v>2000</v>
      </c>
      <c r="C134" s="7">
        <v>2000</v>
      </c>
    </row>
    <row r="135" spans="1:3" x14ac:dyDescent="0.3">
      <c r="A135" s="8" t="s">
        <v>193</v>
      </c>
      <c r="B135" s="9">
        <v>11967</v>
      </c>
      <c r="C135" s="9">
        <v>14985</v>
      </c>
    </row>
    <row r="136" spans="1:3" x14ac:dyDescent="0.3">
      <c r="A136" t="s">
        <v>489</v>
      </c>
      <c r="B136" s="7">
        <v>3000</v>
      </c>
      <c r="C136" s="7">
        <v>4000</v>
      </c>
    </row>
    <row r="137" spans="1:3" x14ac:dyDescent="0.3">
      <c r="A137" t="s">
        <v>248</v>
      </c>
      <c r="B137" s="7">
        <v>8032</v>
      </c>
      <c r="C137" s="7">
        <v>5414</v>
      </c>
    </row>
    <row r="138" spans="1:3" x14ac:dyDescent="0.3">
      <c r="A138" t="s">
        <v>491</v>
      </c>
      <c r="B138" s="7">
        <v>0</v>
      </c>
      <c r="C138" s="7">
        <v>436</v>
      </c>
    </row>
    <row r="139" spans="1:3" x14ac:dyDescent="0.3">
      <c r="A139" s="8" t="s">
        <v>250</v>
      </c>
      <c r="B139" s="9">
        <v>11032</v>
      </c>
      <c r="C139" s="9">
        <v>9850</v>
      </c>
    </row>
    <row r="141" spans="1:3" x14ac:dyDescent="0.3">
      <c r="A141" s="2" t="s">
        <v>427</v>
      </c>
    </row>
    <row r="142" spans="1:3" x14ac:dyDescent="0.3">
      <c r="A142" s="2"/>
      <c r="B142" s="5" t="s">
        <v>506</v>
      </c>
      <c r="C142" s="5" t="s">
        <v>457</v>
      </c>
    </row>
    <row r="143" spans="1:3" x14ac:dyDescent="0.3">
      <c r="A143" t="s">
        <v>252</v>
      </c>
      <c r="B143" s="7">
        <v>233</v>
      </c>
      <c r="C143" s="7">
        <v>57</v>
      </c>
    </row>
    <row r="144" spans="1:3" x14ac:dyDescent="0.3">
      <c r="A144" t="s">
        <v>536</v>
      </c>
      <c r="B144" s="7">
        <v>87</v>
      </c>
      <c r="C144" s="7">
        <v>0</v>
      </c>
    </row>
    <row r="145" spans="1:3" x14ac:dyDescent="0.3">
      <c r="A145" s="8" t="s">
        <v>193</v>
      </c>
      <c r="B145" s="9">
        <v>320</v>
      </c>
      <c r="C145" s="9">
        <v>57</v>
      </c>
    </row>
    <row r="146" spans="1:3" x14ac:dyDescent="0.3">
      <c r="A146" t="s">
        <v>253</v>
      </c>
      <c r="B146" s="7">
        <v>6</v>
      </c>
      <c r="C146" s="7">
        <v>3</v>
      </c>
    </row>
    <row r="147" spans="1:3" x14ac:dyDescent="0.3">
      <c r="A147" t="s">
        <v>254</v>
      </c>
      <c r="B147" s="7">
        <v>243</v>
      </c>
      <c r="C147" s="7">
        <v>148</v>
      </c>
    </row>
    <row r="148" spans="1:3" x14ac:dyDescent="0.3">
      <c r="A148" t="s">
        <v>492</v>
      </c>
      <c r="B148" s="7">
        <v>1</v>
      </c>
      <c r="C148" s="7">
        <v>1</v>
      </c>
    </row>
    <row r="149" spans="1:3" x14ac:dyDescent="0.3">
      <c r="A149" s="8" t="s">
        <v>537</v>
      </c>
      <c r="B149" s="9">
        <v>63</v>
      </c>
      <c r="C149" s="9">
        <v>152</v>
      </c>
    </row>
    <row r="151" spans="1:3" x14ac:dyDescent="0.3">
      <c r="A151" s="2" t="s">
        <v>428</v>
      </c>
    </row>
    <row r="152" spans="1:3" x14ac:dyDescent="0.3">
      <c r="A152" s="2"/>
      <c r="B152" s="5" t="s">
        <v>506</v>
      </c>
      <c r="C152" s="5" t="s">
        <v>457</v>
      </c>
    </row>
    <row r="153" spans="1:3" x14ac:dyDescent="0.3">
      <c r="A153" t="s">
        <v>538</v>
      </c>
      <c r="B153" s="7">
        <v>199</v>
      </c>
      <c r="C153" s="7">
        <v>750</v>
      </c>
    </row>
    <row r="154" spans="1:3" x14ac:dyDescent="0.3">
      <c r="A154" t="s">
        <v>258</v>
      </c>
      <c r="B154" s="7">
        <v>12</v>
      </c>
      <c r="C154" s="7">
        <v>275</v>
      </c>
    </row>
    <row r="155" spans="1:3" x14ac:dyDescent="0.3">
      <c r="A155" t="s">
        <v>259</v>
      </c>
      <c r="B155" s="7">
        <v>485</v>
      </c>
      <c r="C155" s="7">
        <v>628</v>
      </c>
    </row>
    <row r="156" spans="1:3" x14ac:dyDescent="0.3">
      <c r="A156" t="s">
        <v>408</v>
      </c>
      <c r="B156" s="7">
        <v>7</v>
      </c>
      <c r="C156" s="7">
        <v>53</v>
      </c>
    </row>
    <row r="157" spans="1:3" x14ac:dyDescent="0.3">
      <c r="A157" s="8" t="s">
        <v>197</v>
      </c>
      <c r="B157" s="9">
        <v>703</v>
      </c>
      <c r="C157" s="9">
        <v>1706</v>
      </c>
    </row>
    <row r="159" spans="1:3" x14ac:dyDescent="0.3">
      <c r="A159" s="2" t="s">
        <v>429</v>
      </c>
    </row>
    <row r="160" spans="1:3" x14ac:dyDescent="0.3">
      <c r="A160" s="2"/>
      <c r="B160" s="5" t="s">
        <v>506</v>
      </c>
      <c r="C160" s="5" t="s">
        <v>457</v>
      </c>
    </row>
    <row r="161" spans="1:3" x14ac:dyDescent="0.3">
      <c r="A161" t="s">
        <v>262</v>
      </c>
      <c r="B161" s="7">
        <v>199</v>
      </c>
      <c r="C161" s="7">
        <v>389</v>
      </c>
    </row>
    <row r="162" spans="1:3" x14ac:dyDescent="0.3">
      <c r="A162" t="s">
        <v>263</v>
      </c>
      <c r="B162" s="7">
        <v>279</v>
      </c>
      <c r="C162" s="7">
        <v>366</v>
      </c>
    </row>
    <row r="163" spans="1:3" x14ac:dyDescent="0.3">
      <c r="A163" t="s">
        <v>264</v>
      </c>
      <c r="B163" s="7">
        <v>134</v>
      </c>
      <c r="C163" s="7">
        <v>247</v>
      </c>
    </row>
    <row r="164" spans="1:3" x14ac:dyDescent="0.3">
      <c r="A164" t="s">
        <v>493</v>
      </c>
      <c r="B164" s="7">
        <v>105</v>
      </c>
      <c r="C164" s="7">
        <v>103</v>
      </c>
    </row>
    <row r="165" spans="1:3" x14ac:dyDescent="0.3">
      <c r="A165" t="s">
        <v>265</v>
      </c>
      <c r="B165" s="7">
        <v>4</v>
      </c>
      <c r="C165" s="7">
        <v>4</v>
      </c>
    </row>
    <row r="166" spans="1:3" x14ac:dyDescent="0.3">
      <c r="A166" s="8" t="s">
        <v>165</v>
      </c>
      <c r="B166" s="9">
        <v>721</v>
      </c>
      <c r="C166" s="9">
        <v>1109</v>
      </c>
    </row>
    <row r="168" spans="1:3" x14ac:dyDescent="0.3">
      <c r="A168" s="2" t="s">
        <v>430</v>
      </c>
    </row>
    <row r="169" spans="1:3" x14ac:dyDescent="0.3">
      <c r="A169" s="2"/>
      <c r="B169" s="5" t="s">
        <v>506</v>
      </c>
      <c r="C169" s="5" t="s">
        <v>457</v>
      </c>
    </row>
    <row r="170" spans="1:3" x14ac:dyDescent="0.3">
      <c r="A170" t="s">
        <v>539</v>
      </c>
      <c r="B170" s="7">
        <v>12</v>
      </c>
      <c r="C170" s="7">
        <v>0</v>
      </c>
    </row>
    <row r="171" spans="1:3" x14ac:dyDescent="0.3">
      <c r="A171" t="s">
        <v>540</v>
      </c>
      <c r="B171" s="7">
        <v>1212</v>
      </c>
      <c r="C171" s="7">
        <v>1562</v>
      </c>
    </row>
    <row r="172" spans="1:3" x14ac:dyDescent="0.3">
      <c r="A172" t="s">
        <v>541</v>
      </c>
      <c r="B172" s="7">
        <v>23</v>
      </c>
      <c r="C172" s="7">
        <v>9</v>
      </c>
    </row>
    <row r="173" spans="1:3" x14ac:dyDescent="0.3">
      <c r="A173" t="s">
        <v>207</v>
      </c>
      <c r="B173" s="7">
        <v>8</v>
      </c>
      <c r="C173" s="7">
        <v>0</v>
      </c>
    </row>
    <row r="174" spans="1:3" x14ac:dyDescent="0.3">
      <c r="A174" s="8" t="s">
        <v>193</v>
      </c>
      <c r="B174" s="9">
        <v>1255</v>
      </c>
      <c r="C174" s="9">
        <v>1571</v>
      </c>
    </row>
    <row r="175" spans="1:3" x14ac:dyDescent="0.3">
      <c r="A175" t="s">
        <v>542</v>
      </c>
      <c r="B175" s="7">
        <v>78</v>
      </c>
      <c r="C175" s="7">
        <v>0</v>
      </c>
    </row>
    <row r="176" spans="1:3" x14ac:dyDescent="0.3">
      <c r="A176" t="s">
        <v>543</v>
      </c>
      <c r="B176" s="7">
        <v>374</v>
      </c>
      <c r="C176" s="7">
        <v>516</v>
      </c>
    </row>
    <row r="177" spans="1:3" x14ac:dyDescent="0.3">
      <c r="A177" s="8" t="s">
        <v>197</v>
      </c>
      <c r="B177" s="9">
        <v>452</v>
      </c>
      <c r="C177" s="9">
        <v>516</v>
      </c>
    </row>
    <row r="179" spans="1:3" x14ac:dyDescent="0.3">
      <c r="A179" s="2" t="s">
        <v>431</v>
      </c>
    </row>
    <row r="180" spans="1:3" x14ac:dyDescent="0.3">
      <c r="A180" s="2"/>
      <c r="B180" s="5" t="s">
        <v>506</v>
      </c>
      <c r="C180" s="5" t="s">
        <v>457</v>
      </c>
    </row>
    <row r="181" spans="1:3" x14ac:dyDescent="0.3">
      <c r="A181" t="s">
        <v>268</v>
      </c>
      <c r="B181" s="7">
        <v>1003</v>
      </c>
      <c r="C181" s="7">
        <v>1214</v>
      </c>
    </row>
    <row r="182" spans="1:3" x14ac:dyDescent="0.3">
      <c r="A182" t="s">
        <v>269</v>
      </c>
      <c r="B182" s="7">
        <v>11695</v>
      </c>
      <c r="C182" s="7">
        <v>11061</v>
      </c>
    </row>
    <row r="183" spans="1:3" x14ac:dyDescent="0.3">
      <c r="A183" s="8" t="s">
        <v>165</v>
      </c>
      <c r="B183" s="9">
        <v>12698</v>
      </c>
      <c r="C183" s="9">
        <v>12275</v>
      </c>
    </row>
    <row r="185" spans="1:3" x14ac:dyDescent="0.3">
      <c r="A185" s="2" t="s">
        <v>432</v>
      </c>
    </row>
    <row r="186" spans="1:3" x14ac:dyDescent="0.3">
      <c r="A186" s="2"/>
      <c r="B186" s="5" t="s">
        <v>506</v>
      </c>
      <c r="C186" s="5" t="s">
        <v>457</v>
      </c>
    </row>
    <row r="187" spans="1:3" x14ac:dyDescent="0.3">
      <c r="A187" t="s">
        <v>271</v>
      </c>
      <c r="B187" s="7">
        <v>71190</v>
      </c>
      <c r="C187" s="7">
        <v>69518</v>
      </c>
    </row>
    <row r="188" spans="1:3" x14ac:dyDescent="0.3">
      <c r="A188" t="s">
        <v>272</v>
      </c>
      <c r="B188" s="7">
        <v>174</v>
      </c>
      <c r="C188" s="7">
        <v>143</v>
      </c>
    </row>
    <row r="189" spans="1:3" x14ac:dyDescent="0.3">
      <c r="A189" t="s">
        <v>433</v>
      </c>
      <c r="B189" s="7">
        <v>399</v>
      </c>
      <c r="C189" s="7">
        <v>391</v>
      </c>
    </row>
    <row r="190" spans="1:3" x14ac:dyDescent="0.3">
      <c r="A190" s="8" t="s">
        <v>165</v>
      </c>
      <c r="B190" s="9">
        <v>71763</v>
      </c>
      <c r="C190" s="9">
        <v>70052</v>
      </c>
    </row>
    <row r="191" spans="1:3" x14ac:dyDescent="0.3">
      <c r="A191" s="4" t="s">
        <v>274</v>
      </c>
    </row>
    <row r="192" spans="1:3" x14ac:dyDescent="0.3">
      <c r="A192" t="s">
        <v>275</v>
      </c>
      <c r="B192" s="7">
        <v>28176</v>
      </c>
      <c r="C192" s="7">
        <v>28552</v>
      </c>
    </row>
    <row r="193" spans="1:3" x14ac:dyDescent="0.3">
      <c r="A193" t="s">
        <v>276</v>
      </c>
      <c r="B193" s="7">
        <v>7886</v>
      </c>
      <c r="C193" s="7">
        <v>7459</v>
      </c>
    </row>
    <row r="194" spans="1:3" x14ac:dyDescent="0.3">
      <c r="A194" t="s">
        <v>277</v>
      </c>
      <c r="B194" s="7">
        <v>19210</v>
      </c>
      <c r="C194" s="7">
        <v>19343</v>
      </c>
    </row>
    <row r="195" spans="1:3" x14ac:dyDescent="0.3">
      <c r="A195" t="s">
        <v>278</v>
      </c>
      <c r="B195" s="7">
        <v>6846</v>
      </c>
      <c r="C195" s="7">
        <v>6745</v>
      </c>
    </row>
    <row r="196" spans="1:3" x14ac:dyDescent="0.3">
      <c r="A196" t="s">
        <v>279</v>
      </c>
      <c r="B196" s="7">
        <v>4783</v>
      </c>
      <c r="C196" s="7">
        <v>4056</v>
      </c>
    </row>
    <row r="197" spans="1:3" x14ac:dyDescent="0.3">
      <c r="A197" t="s">
        <v>544</v>
      </c>
      <c r="B197" s="7">
        <v>1699</v>
      </c>
      <c r="C197" s="7">
        <v>24</v>
      </c>
    </row>
    <row r="198" spans="1:3" x14ac:dyDescent="0.3">
      <c r="A198" t="s">
        <v>265</v>
      </c>
      <c r="B198" s="7">
        <v>2590</v>
      </c>
      <c r="C198" s="7">
        <v>3339</v>
      </c>
    </row>
    <row r="199" spans="1:3" x14ac:dyDescent="0.3">
      <c r="A199" s="8" t="s">
        <v>280</v>
      </c>
      <c r="B199" s="9">
        <v>71190</v>
      </c>
      <c r="C199" s="9">
        <v>69518</v>
      </c>
    </row>
    <row r="201" spans="1:3" x14ac:dyDescent="0.3">
      <c r="A201" s="2" t="s">
        <v>434</v>
      </c>
    </row>
    <row r="202" spans="1:3" x14ac:dyDescent="0.3">
      <c r="A202" s="2"/>
      <c r="B202" s="5" t="s">
        <v>506</v>
      </c>
      <c r="C202" s="5" t="s">
        <v>457</v>
      </c>
    </row>
    <row r="203" spans="1:3" x14ac:dyDescent="0.3">
      <c r="A203" t="s">
        <v>282</v>
      </c>
      <c r="B203" s="7">
        <v>3937</v>
      </c>
      <c r="C203" s="7">
        <v>3187</v>
      </c>
    </row>
    <row r="204" spans="1:3" x14ac:dyDescent="0.3">
      <c r="A204" t="s">
        <v>283</v>
      </c>
      <c r="B204" s="7">
        <v>70</v>
      </c>
      <c r="C204" s="7">
        <v>71</v>
      </c>
    </row>
    <row r="205" spans="1:3" x14ac:dyDescent="0.3">
      <c r="A205" t="s">
        <v>496</v>
      </c>
      <c r="B205" s="7">
        <v>2866</v>
      </c>
      <c r="C205" s="7">
        <v>1396</v>
      </c>
    </row>
    <row r="206" spans="1:3" x14ac:dyDescent="0.3">
      <c r="A206" t="s">
        <v>497</v>
      </c>
      <c r="B206" s="7">
        <v>37</v>
      </c>
      <c r="C206" s="7">
        <v>12</v>
      </c>
    </row>
    <row r="207" spans="1:3" x14ac:dyDescent="0.3">
      <c r="A207" t="s">
        <v>286</v>
      </c>
      <c r="B207" s="7">
        <v>1</v>
      </c>
      <c r="C207" s="7">
        <v>13</v>
      </c>
    </row>
    <row r="208" spans="1:3" x14ac:dyDescent="0.3">
      <c r="A208" t="s">
        <v>287</v>
      </c>
      <c r="B208" s="7">
        <v>93</v>
      </c>
      <c r="C208" s="7">
        <v>116</v>
      </c>
    </row>
    <row r="209" spans="1:3" x14ac:dyDescent="0.3">
      <c r="A209" t="s">
        <v>289</v>
      </c>
      <c r="B209" s="7">
        <v>1392</v>
      </c>
      <c r="C209" s="7">
        <v>2206</v>
      </c>
    </row>
    <row r="210" spans="1:3" x14ac:dyDescent="0.3">
      <c r="A210" t="s">
        <v>499</v>
      </c>
      <c r="B210" s="7">
        <v>208</v>
      </c>
      <c r="C210" s="7">
        <v>192</v>
      </c>
    </row>
    <row r="211" spans="1:3" x14ac:dyDescent="0.3">
      <c r="A211" t="s">
        <v>545</v>
      </c>
      <c r="B211" s="7">
        <v>614</v>
      </c>
      <c r="C211" s="7">
        <v>0</v>
      </c>
    </row>
    <row r="212" spans="1:3" x14ac:dyDescent="0.3">
      <c r="A212" t="s">
        <v>290</v>
      </c>
      <c r="B212" s="7">
        <v>365</v>
      </c>
      <c r="C212" s="7">
        <v>338</v>
      </c>
    </row>
    <row r="213" spans="1:3" x14ac:dyDescent="0.3">
      <c r="A213" s="8" t="s">
        <v>165</v>
      </c>
      <c r="B213" s="9">
        <v>9583</v>
      </c>
      <c r="C213" s="9">
        <v>7531</v>
      </c>
    </row>
    <row r="215" spans="1:3" x14ac:dyDescent="0.3">
      <c r="A215" s="2" t="s">
        <v>436</v>
      </c>
    </row>
    <row r="216" spans="1:3" x14ac:dyDescent="0.3">
      <c r="A216" s="2"/>
      <c r="B216" s="5" t="s">
        <v>506</v>
      </c>
      <c r="C216" s="5" t="s">
        <v>457</v>
      </c>
    </row>
    <row r="217" spans="1:3" x14ac:dyDescent="0.3">
      <c r="A217" t="s">
        <v>292</v>
      </c>
      <c r="B217" s="7">
        <v>3047</v>
      </c>
      <c r="C217" s="7">
        <v>3051</v>
      </c>
    </row>
    <row r="218" spans="1:3" x14ac:dyDescent="0.3">
      <c r="A218" t="s">
        <v>293</v>
      </c>
      <c r="B218" s="7">
        <v>37351</v>
      </c>
      <c r="C218" s="7">
        <v>37569</v>
      </c>
    </row>
    <row r="219" spans="1:3" x14ac:dyDescent="0.3">
      <c r="A219" t="s">
        <v>294</v>
      </c>
      <c r="B219" s="7">
        <v>2101</v>
      </c>
      <c r="C219" s="7">
        <v>3047</v>
      </c>
    </row>
    <row r="220" spans="1:3" x14ac:dyDescent="0.3">
      <c r="A220" s="8" t="s">
        <v>165</v>
      </c>
      <c r="B220" s="9">
        <v>38297</v>
      </c>
      <c r="C220" s="9">
        <v>37573</v>
      </c>
    </row>
    <row r="221" spans="1:3" x14ac:dyDescent="0.3">
      <c r="A221" s="4" t="s">
        <v>295</v>
      </c>
    </row>
    <row r="222" spans="1:3" x14ac:dyDescent="0.3">
      <c r="A222" t="s">
        <v>296</v>
      </c>
      <c r="B222" s="7">
        <v>7538</v>
      </c>
      <c r="C222" s="7">
        <v>9386</v>
      </c>
    </row>
    <row r="223" spans="1:3" x14ac:dyDescent="0.3">
      <c r="A223" t="s">
        <v>297</v>
      </c>
      <c r="B223" s="7">
        <v>3053</v>
      </c>
      <c r="C223" s="7">
        <v>3261</v>
      </c>
    </row>
    <row r="224" spans="1:3" x14ac:dyDescent="0.3">
      <c r="A224" t="s">
        <v>298</v>
      </c>
      <c r="B224" s="7">
        <v>1906</v>
      </c>
      <c r="C224" s="7">
        <v>1095</v>
      </c>
    </row>
    <row r="225" spans="1:3" x14ac:dyDescent="0.3">
      <c r="A225" t="s">
        <v>299</v>
      </c>
      <c r="B225" s="7">
        <v>497</v>
      </c>
      <c r="C225" s="7">
        <v>754</v>
      </c>
    </row>
    <row r="226" spans="1:3" x14ac:dyDescent="0.3">
      <c r="A226" t="s">
        <v>300</v>
      </c>
      <c r="B226" s="7">
        <v>3956</v>
      </c>
      <c r="C226" s="7">
        <v>3998</v>
      </c>
    </row>
    <row r="227" spans="1:3" x14ac:dyDescent="0.3">
      <c r="A227" t="s">
        <v>301</v>
      </c>
      <c r="B227" s="7">
        <v>1036</v>
      </c>
      <c r="C227" s="7">
        <v>1010</v>
      </c>
    </row>
    <row r="228" spans="1:3" x14ac:dyDescent="0.3">
      <c r="A228" t="s">
        <v>302</v>
      </c>
      <c r="B228" s="7">
        <v>1171</v>
      </c>
      <c r="C228" s="7">
        <v>262</v>
      </c>
    </row>
    <row r="229" spans="1:3" x14ac:dyDescent="0.3">
      <c r="A229" t="s">
        <v>546</v>
      </c>
      <c r="B229" s="7">
        <v>1101</v>
      </c>
      <c r="C229" s="7">
        <v>0</v>
      </c>
    </row>
    <row r="230" spans="1:3" x14ac:dyDescent="0.3">
      <c r="A230" t="s">
        <v>265</v>
      </c>
      <c r="B230" s="7">
        <v>18039</v>
      </c>
      <c r="C230" s="7">
        <v>17807</v>
      </c>
    </row>
    <row r="231" spans="1:3" x14ac:dyDescent="0.3">
      <c r="A231" s="8" t="s">
        <v>303</v>
      </c>
      <c r="B231" s="9">
        <v>38297</v>
      </c>
      <c r="C231" s="9">
        <v>37573</v>
      </c>
    </row>
    <row r="233" spans="1:3" x14ac:dyDescent="0.3">
      <c r="A233" s="2" t="s">
        <v>437</v>
      </c>
    </row>
    <row r="234" spans="1:3" x14ac:dyDescent="0.3">
      <c r="A234" s="2"/>
      <c r="B234" s="5" t="s">
        <v>506</v>
      </c>
      <c r="C234" s="5" t="s">
        <v>457</v>
      </c>
    </row>
    <row r="235" spans="1:3" x14ac:dyDescent="0.3">
      <c r="A235" t="s">
        <v>305</v>
      </c>
      <c r="B235" s="7">
        <v>2059</v>
      </c>
      <c r="C235" s="7">
        <v>2189</v>
      </c>
    </row>
    <row r="236" spans="1:3" x14ac:dyDescent="0.3">
      <c r="A236" t="s">
        <v>306</v>
      </c>
      <c r="B236" s="7">
        <v>995</v>
      </c>
      <c r="C236" s="7">
        <v>1791</v>
      </c>
    </row>
    <row r="237" spans="1:3" x14ac:dyDescent="0.3">
      <c r="A237" t="s">
        <v>307</v>
      </c>
      <c r="B237" s="7">
        <v>1588</v>
      </c>
      <c r="C237" s="7">
        <v>1256</v>
      </c>
    </row>
    <row r="238" spans="1:3" x14ac:dyDescent="0.3">
      <c r="A238" s="8" t="s">
        <v>308</v>
      </c>
      <c r="B238" s="9">
        <v>4642</v>
      </c>
      <c r="C238" s="9">
        <v>5236</v>
      </c>
    </row>
    <row r="239" spans="1:3" x14ac:dyDescent="0.3">
      <c r="A239" t="s">
        <v>310</v>
      </c>
      <c r="B239" s="7">
        <v>1642</v>
      </c>
      <c r="C239" s="7">
        <v>2059</v>
      </c>
    </row>
    <row r="240" spans="1:3" x14ac:dyDescent="0.3">
      <c r="A240" t="s">
        <v>311</v>
      </c>
      <c r="B240" s="7">
        <v>877</v>
      </c>
      <c r="C240" s="7">
        <v>995</v>
      </c>
    </row>
    <row r="241" spans="1:3" x14ac:dyDescent="0.3">
      <c r="A241" t="s">
        <v>312</v>
      </c>
      <c r="B241" s="7">
        <v>1426</v>
      </c>
      <c r="C241" s="7">
        <v>1588</v>
      </c>
    </row>
    <row r="242" spans="1:3" x14ac:dyDescent="0.3">
      <c r="A242" s="8" t="s">
        <v>313</v>
      </c>
      <c r="B242" s="9">
        <v>3945</v>
      </c>
      <c r="C242" s="9">
        <v>4642</v>
      </c>
    </row>
    <row r="243" spans="1:3" x14ac:dyDescent="0.3">
      <c r="A243" s="8" t="s">
        <v>314</v>
      </c>
      <c r="B243" s="9">
        <v>697</v>
      </c>
      <c r="C243" s="9">
        <v>594</v>
      </c>
    </row>
    <row r="245" spans="1:3" x14ac:dyDescent="0.3">
      <c r="A245" s="2" t="s">
        <v>500</v>
      </c>
    </row>
    <row r="246" spans="1:3" x14ac:dyDescent="0.3">
      <c r="A246" s="2"/>
      <c r="B246" s="5" t="s">
        <v>506</v>
      </c>
      <c r="C246" s="5" t="s">
        <v>457</v>
      </c>
    </row>
    <row r="247" spans="1:3" x14ac:dyDescent="0.3">
      <c r="A247" t="s">
        <v>316</v>
      </c>
      <c r="B247" s="7">
        <v>5792</v>
      </c>
      <c r="C247" s="7">
        <v>5179</v>
      </c>
    </row>
    <row r="248" spans="1:3" x14ac:dyDescent="0.3">
      <c r="A248" t="s">
        <v>317</v>
      </c>
      <c r="B248" s="7">
        <v>304</v>
      </c>
      <c r="C248" s="7">
        <v>254</v>
      </c>
    </row>
    <row r="249" spans="1:3" x14ac:dyDescent="0.3">
      <c r="A249" t="s">
        <v>318</v>
      </c>
      <c r="B249" s="7">
        <v>168</v>
      </c>
      <c r="C249" s="7">
        <v>152</v>
      </c>
    </row>
    <row r="250" spans="1:3" x14ac:dyDescent="0.3">
      <c r="A250" s="8" t="s">
        <v>165</v>
      </c>
      <c r="B250" s="9">
        <v>6264</v>
      </c>
      <c r="C250" s="9">
        <v>5585</v>
      </c>
    </row>
    <row r="252" spans="1:3" x14ac:dyDescent="0.3">
      <c r="A252" s="2" t="s">
        <v>439</v>
      </c>
    </row>
    <row r="253" spans="1:3" x14ac:dyDescent="0.3">
      <c r="A253" s="2"/>
      <c r="B253" s="5" t="s">
        <v>506</v>
      </c>
      <c r="C253" s="5" t="s">
        <v>457</v>
      </c>
    </row>
    <row r="254" spans="1:3" x14ac:dyDescent="0.3">
      <c r="A254" t="s">
        <v>320</v>
      </c>
      <c r="B254" s="7">
        <v>1255</v>
      </c>
      <c r="C254" s="7">
        <v>1323</v>
      </c>
    </row>
    <row r="255" spans="1:3" x14ac:dyDescent="0.3">
      <c r="A255" t="s">
        <v>321</v>
      </c>
      <c r="B255" s="7">
        <v>0</v>
      </c>
      <c r="C255" s="7">
        <v>-82</v>
      </c>
    </row>
    <row r="256" spans="1:3" x14ac:dyDescent="0.3">
      <c r="A256" t="s">
        <v>547</v>
      </c>
      <c r="B256" s="7">
        <v>41</v>
      </c>
      <c r="C256" s="7">
        <v>-41</v>
      </c>
    </row>
    <row r="257" spans="1:3" x14ac:dyDescent="0.3">
      <c r="A257" t="s">
        <v>322</v>
      </c>
      <c r="B257" s="7">
        <v>20</v>
      </c>
      <c r="C257" s="7">
        <v>13</v>
      </c>
    </row>
    <row r="258" spans="1:3" x14ac:dyDescent="0.3">
      <c r="A258" t="s">
        <v>265</v>
      </c>
      <c r="B258" s="7">
        <v>162</v>
      </c>
      <c r="C258" s="7">
        <v>0</v>
      </c>
    </row>
    <row r="259" spans="1:3" x14ac:dyDescent="0.3">
      <c r="A259" s="8" t="s">
        <v>165</v>
      </c>
      <c r="B259" s="9">
        <v>1478</v>
      </c>
      <c r="C259" s="9">
        <v>1213</v>
      </c>
    </row>
    <row r="261" spans="1:3" x14ac:dyDescent="0.3">
      <c r="A261" s="2" t="s">
        <v>501</v>
      </c>
    </row>
    <row r="262" spans="1:3" x14ac:dyDescent="0.3">
      <c r="A262" s="2"/>
      <c r="B262" s="5" t="s">
        <v>506</v>
      </c>
      <c r="C262" s="5" t="s">
        <v>457</v>
      </c>
    </row>
    <row r="263" spans="1:3" x14ac:dyDescent="0.3">
      <c r="A263" t="s">
        <v>548</v>
      </c>
      <c r="B263" s="7">
        <v>1195</v>
      </c>
      <c r="C263" s="7">
        <v>1127</v>
      </c>
    </row>
    <row r="264" spans="1:3" x14ac:dyDescent="0.3">
      <c r="A264" t="s">
        <v>549</v>
      </c>
      <c r="B264" s="7">
        <v>635</v>
      </c>
      <c r="C264" s="7">
        <v>24</v>
      </c>
    </row>
    <row r="265" spans="1:3" x14ac:dyDescent="0.3">
      <c r="A265" s="8" t="s">
        <v>165</v>
      </c>
      <c r="B265" s="9">
        <v>1830</v>
      </c>
      <c r="C265" s="9">
        <v>1151</v>
      </c>
    </row>
    <row r="267" spans="1:3" x14ac:dyDescent="0.3">
      <c r="A267" s="2" t="s">
        <v>441</v>
      </c>
    </row>
    <row r="268" spans="1:3" x14ac:dyDescent="0.3">
      <c r="A268" s="2"/>
      <c r="B268" s="5" t="s">
        <v>506</v>
      </c>
      <c r="C268" s="5" t="s">
        <v>457</v>
      </c>
    </row>
    <row r="269" spans="1:3" x14ac:dyDescent="0.3">
      <c r="A269" t="s">
        <v>327</v>
      </c>
      <c r="B269" s="7">
        <v>662</v>
      </c>
      <c r="C269" s="7">
        <v>676</v>
      </c>
    </row>
    <row r="270" spans="1:3" x14ac:dyDescent="0.3">
      <c r="A270" t="s">
        <v>328</v>
      </c>
      <c r="B270" s="7">
        <v>1512</v>
      </c>
      <c r="C270" s="7">
        <v>1553</v>
      </c>
    </row>
    <row r="271" spans="1:3" x14ac:dyDescent="0.3">
      <c r="A271" t="s">
        <v>329</v>
      </c>
      <c r="B271" s="7">
        <v>907</v>
      </c>
      <c r="C271" s="7">
        <v>1082</v>
      </c>
    </row>
    <row r="272" spans="1:3" x14ac:dyDescent="0.3">
      <c r="A272" t="s">
        <v>330</v>
      </c>
      <c r="B272" s="7">
        <v>133</v>
      </c>
      <c r="C272" s="7">
        <v>93</v>
      </c>
    </row>
    <row r="273" spans="1:3" x14ac:dyDescent="0.3">
      <c r="A273" t="s">
        <v>331</v>
      </c>
      <c r="B273" s="7">
        <v>56</v>
      </c>
      <c r="C273" s="7">
        <v>499</v>
      </c>
    </row>
    <row r="274" spans="1:3" x14ac:dyDescent="0.3">
      <c r="A274" t="s">
        <v>332</v>
      </c>
      <c r="B274" s="7">
        <v>95</v>
      </c>
      <c r="C274" s="7">
        <v>74</v>
      </c>
    </row>
    <row r="275" spans="1:3" x14ac:dyDescent="0.3">
      <c r="A275" t="s">
        <v>333</v>
      </c>
      <c r="B275" s="7">
        <v>17</v>
      </c>
      <c r="C275" s="7">
        <v>14</v>
      </c>
    </row>
    <row r="276" spans="1:3" x14ac:dyDescent="0.3">
      <c r="A276" t="s">
        <v>334</v>
      </c>
      <c r="B276" s="7">
        <v>586</v>
      </c>
      <c r="C276" s="7">
        <v>536</v>
      </c>
    </row>
    <row r="277" spans="1:3" x14ac:dyDescent="0.3">
      <c r="A277" t="s">
        <v>502</v>
      </c>
      <c r="B277" s="7">
        <v>144</v>
      </c>
      <c r="C277" s="7">
        <v>156</v>
      </c>
    </row>
    <row r="278" spans="1:3" x14ac:dyDescent="0.3">
      <c r="A278" t="s">
        <v>335</v>
      </c>
      <c r="B278" s="7">
        <v>5968</v>
      </c>
      <c r="C278" s="7">
        <v>5138</v>
      </c>
    </row>
    <row r="279" spans="1:3" x14ac:dyDescent="0.3">
      <c r="A279" t="s">
        <v>336</v>
      </c>
      <c r="B279" s="7">
        <v>599</v>
      </c>
      <c r="C279" s="7">
        <v>509</v>
      </c>
    </row>
    <row r="280" spans="1:3" x14ac:dyDescent="0.3">
      <c r="A280" t="s">
        <v>337</v>
      </c>
      <c r="B280" s="7">
        <v>59</v>
      </c>
      <c r="C280" s="7">
        <v>58</v>
      </c>
    </row>
    <row r="281" spans="1:3" x14ac:dyDescent="0.3">
      <c r="A281" t="s">
        <v>338</v>
      </c>
      <c r="B281" s="7">
        <v>3574</v>
      </c>
      <c r="C281" s="7">
        <v>2742</v>
      </c>
    </row>
    <row r="282" spans="1:3" x14ac:dyDescent="0.3">
      <c r="A282" t="s">
        <v>339</v>
      </c>
      <c r="B282" s="7">
        <v>513</v>
      </c>
      <c r="C282" s="7">
        <v>369</v>
      </c>
    </row>
    <row r="283" spans="1:3" x14ac:dyDescent="0.3">
      <c r="A283" t="s">
        <v>550</v>
      </c>
      <c r="B283" s="7">
        <v>165</v>
      </c>
      <c r="C283" s="7">
        <v>154</v>
      </c>
    </row>
    <row r="284" spans="1:3" x14ac:dyDescent="0.3">
      <c r="A284" t="s">
        <v>340</v>
      </c>
      <c r="B284" s="7">
        <v>18</v>
      </c>
      <c r="C284" s="7">
        <v>16</v>
      </c>
    </row>
    <row r="285" spans="1:3" x14ac:dyDescent="0.3">
      <c r="A285" t="s">
        <v>551</v>
      </c>
      <c r="B285" s="7">
        <v>2</v>
      </c>
      <c r="C285" s="7">
        <v>0</v>
      </c>
    </row>
    <row r="286" spans="1:3" x14ac:dyDescent="0.3">
      <c r="A286" t="s">
        <v>341</v>
      </c>
      <c r="B286" s="7">
        <v>1233</v>
      </c>
      <c r="C286" s="7">
        <v>1660</v>
      </c>
    </row>
    <row r="287" spans="1:3" x14ac:dyDescent="0.3">
      <c r="A287" s="8" t="s">
        <v>165</v>
      </c>
      <c r="B287" s="9">
        <v>16243</v>
      </c>
      <c r="C287" s="9">
        <v>15329</v>
      </c>
    </row>
    <row r="289" spans="1:3" x14ac:dyDescent="0.3">
      <c r="A289" s="2" t="s">
        <v>443</v>
      </c>
    </row>
    <row r="290" spans="1:3" x14ac:dyDescent="0.3">
      <c r="A290" s="2"/>
      <c r="B290" s="5" t="s">
        <v>506</v>
      </c>
      <c r="C290" s="5" t="s">
        <v>457</v>
      </c>
    </row>
    <row r="291" spans="1:3" x14ac:dyDescent="0.3">
      <c r="A291" t="s">
        <v>107</v>
      </c>
      <c r="B291" s="7">
        <v>483662163</v>
      </c>
      <c r="C291" s="7">
        <v>483662163</v>
      </c>
    </row>
    <row r="292" spans="1:3" x14ac:dyDescent="0.3">
      <c r="A292" t="s">
        <v>343</v>
      </c>
      <c r="B292" s="7">
        <v>12632</v>
      </c>
      <c r="C292" s="7">
        <v>10688</v>
      </c>
    </row>
    <row r="293" spans="1:3" x14ac:dyDescent="0.3">
      <c r="A293" t="s">
        <v>344</v>
      </c>
      <c r="B293" s="7">
        <v>26.12</v>
      </c>
      <c r="C293" s="7">
        <v>22.1</v>
      </c>
    </row>
    <row r="294" spans="1:3" x14ac:dyDescent="0.3">
      <c r="B294" t="s">
        <v>676</v>
      </c>
    </row>
    <row r="295" spans="1:3" x14ac:dyDescent="0.3">
      <c r="A295" s="2" t="s">
        <v>444</v>
      </c>
    </row>
    <row r="296" spans="1:3" x14ac:dyDescent="0.3">
      <c r="A296" s="2"/>
      <c r="B296" s="5" t="s">
        <v>506</v>
      </c>
      <c r="C296" s="5" t="s">
        <v>457</v>
      </c>
    </row>
    <row r="297" spans="1:3" x14ac:dyDescent="0.3">
      <c r="A297" t="s">
        <v>346</v>
      </c>
      <c r="B297" s="7">
        <v>182</v>
      </c>
      <c r="C297" s="7">
        <v>116</v>
      </c>
    </row>
    <row r="299" spans="1:3" x14ac:dyDescent="0.3">
      <c r="A299" s="2" t="s">
        <v>445</v>
      </c>
    </row>
    <row r="300" spans="1:3" x14ac:dyDescent="0.3">
      <c r="A300" s="2"/>
      <c r="B300" s="5" t="s">
        <v>506</v>
      </c>
      <c r="C300" s="5" t="s">
        <v>457</v>
      </c>
    </row>
    <row r="301" spans="1:3" x14ac:dyDescent="0.3">
      <c r="A301" t="s">
        <v>503</v>
      </c>
      <c r="B301" s="7">
        <v>1606</v>
      </c>
      <c r="C301" s="7">
        <v>1481</v>
      </c>
    </row>
    <row r="302" spans="1:3" x14ac:dyDescent="0.3">
      <c r="A302" t="s">
        <v>349</v>
      </c>
      <c r="B302" s="7">
        <v>83</v>
      </c>
      <c r="C302" s="7">
        <v>84</v>
      </c>
    </row>
    <row r="303" spans="1:3" x14ac:dyDescent="0.3">
      <c r="A303" t="s">
        <v>350</v>
      </c>
      <c r="B303" s="7">
        <v>4336</v>
      </c>
      <c r="C303" s="7">
        <v>64</v>
      </c>
    </row>
    <row r="305" spans="1:3" x14ac:dyDescent="0.3">
      <c r="A305" s="2" t="s">
        <v>447</v>
      </c>
    </row>
    <row r="306" spans="1:3" x14ac:dyDescent="0.3">
      <c r="A306" s="2"/>
      <c r="B306" s="5" t="s">
        <v>506</v>
      </c>
      <c r="C306" s="5" t="s">
        <v>457</v>
      </c>
    </row>
    <row r="307" spans="1:3" x14ac:dyDescent="0.3">
      <c r="A307" t="s">
        <v>352</v>
      </c>
      <c r="B307" s="7">
        <v>2808</v>
      </c>
      <c r="C307" s="7">
        <v>2580</v>
      </c>
    </row>
    <row r="308" spans="1:3" x14ac:dyDescent="0.3">
      <c r="A308" t="s">
        <v>353</v>
      </c>
      <c r="B308" s="7">
        <v>-42</v>
      </c>
      <c r="C308" s="7">
        <v>-79</v>
      </c>
    </row>
    <row r="309" spans="1:3" x14ac:dyDescent="0.3">
      <c r="A309" t="s">
        <v>355</v>
      </c>
      <c r="B309" s="7">
        <v>582</v>
      </c>
      <c r="C309" s="7">
        <v>-307</v>
      </c>
    </row>
    <row r="310" spans="1:3" x14ac:dyDescent="0.3">
      <c r="A310" t="s">
        <v>356</v>
      </c>
      <c r="B310" s="7">
        <v>27</v>
      </c>
      <c r="C310" s="7">
        <v>93</v>
      </c>
    </row>
    <row r="311" spans="1:3" x14ac:dyDescent="0.3">
      <c r="A311" s="8" t="s">
        <v>358</v>
      </c>
      <c r="B311" s="9">
        <v>3375</v>
      </c>
      <c r="C311" s="9">
        <v>2287</v>
      </c>
    </row>
    <row r="312" spans="1:3" x14ac:dyDescent="0.3">
      <c r="A312" t="s">
        <v>359</v>
      </c>
      <c r="B312" s="7">
        <v>16007</v>
      </c>
      <c r="C312" s="7">
        <v>12975</v>
      </c>
    </row>
    <row r="313" spans="1:3" x14ac:dyDescent="0.3">
      <c r="A313" t="s">
        <v>360</v>
      </c>
      <c r="B313" s="7">
        <v>4029</v>
      </c>
      <c r="C313" s="7">
        <v>3266</v>
      </c>
    </row>
    <row r="314" spans="1:3" x14ac:dyDescent="0.3">
      <c r="A314" t="s">
        <v>552</v>
      </c>
      <c r="B314" s="7">
        <v>-106</v>
      </c>
      <c r="C314" s="7">
        <v>-106</v>
      </c>
    </row>
    <row r="315" spans="1:3" x14ac:dyDescent="0.3">
      <c r="A315" t="s">
        <v>553</v>
      </c>
      <c r="B315" s="7">
        <v>-653</v>
      </c>
      <c r="C315" s="7">
        <v>-995</v>
      </c>
    </row>
    <row r="316" spans="1:3" x14ac:dyDescent="0.3">
      <c r="A316" t="s">
        <v>554</v>
      </c>
      <c r="B316" s="7">
        <v>121</v>
      </c>
      <c r="C316" s="7">
        <v>88</v>
      </c>
    </row>
    <row r="317" spans="1:3" x14ac:dyDescent="0.3">
      <c r="A317" t="s">
        <v>555</v>
      </c>
      <c r="B317" s="7">
        <v>-16</v>
      </c>
      <c r="C317" s="7">
        <v>14</v>
      </c>
    </row>
    <row r="318" spans="1:3" x14ac:dyDescent="0.3">
      <c r="A318" t="s">
        <v>265</v>
      </c>
      <c r="B318" s="7">
        <v>0</v>
      </c>
      <c r="C318" s="7">
        <v>20</v>
      </c>
    </row>
    <row r="319" spans="1:3" x14ac:dyDescent="0.3">
      <c r="A319" t="s">
        <v>365</v>
      </c>
      <c r="B319" s="7">
        <v>21</v>
      </c>
      <c r="C319" s="7">
        <v>18</v>
      </c>
    </row>
    <row r="321" spans="1:3" x14ac:dyDescent="0.3">
      <c r="A321" s="2" t="s">
        <v>556</v>
      </c>
    </row>
    <row r="322" spans="1:3" x14ac:dyDescent="0.3">
      <c r="A322" s="2"/>
      <c r="B322" s="5" t="s">
        <v>506</v>
      </c>
      <c r="C322" s="5" t="s">
        <v>457</v>
      </c>
    </row>
    <row r="323" spans="1:3" x14ac:dyDescent="0.3">
      <c r="A323" t="s">
        <v>370</v>
      </c>
      <c r="B323" s="7">
        <v>1003</v>
      </c>
      <c r="C323" s="7">
        <v>1214</v>
      </c>
    </row>
    <row r="324" spans="1:3" x14ac:dyDescent="0.3">
      <c r="A324" t="s">
        <v>371</v>
      </c>
      <c r="B324" s="7">
        <v>0</v>
      </c>
      <c r="C324" s="7">
        <v>0</v>
      </c>
    </row>
    <row r="325" spans="1:3" x14ac:dyDescent="0.3">
      <c r="A325" t="s">
        <v>372</v>
      </c>
      <c r="B325" s="7">
        <v>0</v>
      </c>
      <c r="C325" s="7">
        <v>0</v>
      </c>
    </row>
    <row r="326" spans="1:3" x14ac:dyDescent="0.3">
      <c r="A326" t="s">
        <v>373</v>
      </c>
      <c r="B326" s="7">
        <v>20</v>
      </c>
      <c r="C326" s="7">
        <v>16</v>
      </c>
    </row>
    <row r="327" spans="1:3" x14ac:dyDescent="0.3">
      <c r="A327" t="s">
        <v>374</v>
      </c>
      <c r="B327" s="7">
        <v>0</v>
      </c>
      <c r="C327" s="7">
        <v>0</v>
      </c>
    </row>
    <row r="329" spans="1:3" x14ac:dyDescent="0.3">
      <c r="A329" s="2" t="s">
        <v>450</v>
      </c>
    </row>
    <row r="330" spans="1:3" x14ac:dyDescent="0.3">
      <c r="A330" s="2"/>
      <c r="B330" s="5" t="s">
        <v>506</v>
      </c>
      <c r="C330" s="5" t="s">
        <v>457</v>
      </c>
    </row>
    <row r="331" spans="1:3" x14ac:dyDescent="0.3">
      <c r="A331" t="s">
        <v>451</v>
      </c>
      <c r="B331" s="7">
        <v>165</v>
      </c>
      <c r="C331" s="7">
        <v>154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56"/>
  <sheetViews>
    <sheetView zoomScale="86" workbookViewId="0">
      <pane ySplit="3" topLeftCell="A138" activePane="bottomLeft" state="frozen"/>
      <selection pane="bottomLeft" activeCell="A143" sqref="A143:C153"/>
    </sheetView>
  </sheetViews>
  <sheetFormatPr defaultRowHeight="14.4" x14ac:dyDescent="0.3"/>
  <cols>
    <col min="1" max="1" width="146.44140625" bestFit="1" customWidth="1"/>
    <col min="2" max="3" width="18" customWidth="1"/>
    <col min="4" max="4" width="4" customWidth="1"/>
  </cols>
  <sheetData>
    <row r="1" spans="1:3" ht="17.399999999999999" x14ac:dyDescent="0.35">
      <c r="A1" s="1" t="s">
        <v>30</v>
      </c>
    </row>
    <row r="2" spans="1:3" x14ac:dyDescent="0.3">
      <c r="A2" s="2" t="s">
        <v>156</v>
      </c>
    </row>
    <row r="3" spans="1:3" x14ac:dyDescent="0.3">
      <c r="A3" s="3" t="s">
        <v>569</v>
      </c>
    </row>
    <row r="4" spans="1:3" x14ac:dyDescent="0.3">
      <c r="A4" s="4" t="s">
        <v>33</v>
      </c>
    </row>
    <row r="6" spans="1:3" x14ac:dyDescent="0.3">
      <c r="A6" s="2" t="s">
        <v>158</v>
      </c>
    </row>
    <row r="7" spans="1:3" x14ac:dyDescent="0.3">
      <c r="A7" s="2"/>
      <c r="B7" s="5" t="s">
        <v>558</v>
      </c>
      <c r="C7" s="5" t="s">
        <v>506</v>
      </c>
    </row>
    <row r="8" spans="1:3" x14ac:dyDescent="0.3">
      <c r="A8" t="s">
        <v>159</v>
      </c>
      <c r="B8" s="7">
        <v>527</v>
      </c>
      <c r="C8" s="7">
        <v>527</v>
      </c>
    </row>
    <row r="9" spans="1:3" x14ac:dyDescent="0.3">
      <c r="A9" t="s">
        <v>160</v>
      </c>
      <c r="B9" s="7">
        <v>3788</v>
      </c>
      <c r="C9" s="7">
        <v>3816</v>
      </c>
    </row>
    <row r="10" spans="1:3" x14ac:dyDescent="0.3">
      <c r="A10" t="s">
        <v>161</v>
      </c>
      <c r="B10" s="7">
        <v>4952</v>
      </c>
      <c r="C10" s="7">
        <v>5085</v>
      </c>
    </row>
    <row r="11" spans="1:3" x14ac:dyDescent="0.3">
      <c r="A11" t="s">
        <v>162</v>
      </c>
      <c r="B11" s="7">
        <v>155</v>
      </c>
      <c r="C11" s="7">
        <v>152</v>
      </c>
    </row>
    <row r="12" spans="1:3" x14ac:dyDescent="0.3">
      <c r="A12" t="s">
        <v>163</v>
      </c>
      <c r="B12" s="7">
        <v>175</v>
      </c>
      <c r="C12" s="7">
        <v>132</v>
      </c>
    </row>
    <row r="13" spans="1:3" x14ac:dyDescent="0.3">
      <c r="A13" t="s">
        <v>164</v>
      </c>
      <c r="B13" s="7">
        <v>8</v>
      </c>
      <c r="C13" s="7">
        <v>12</v>
      </c>
    </row>
    <row r="14" spans="1:3" x14ac:dyDescent="0.3">
      <c r="A14" s="8" t="s">
        <v>165</v>
      </c>
      <c r="B14" s="9">
        <v>9605</v>
      </c>
      <c r="C14" s="9">
        <v>9724</v>
      </c>
    </row>
    <row r="16" spans="1:3" x14ac:dyDescent="0.3">
      <c r="A16" s="2" t="s">
        <v>570</v>
      </c>
    </row>
    <row r="17" spans="1:3" x14ac:dyDescent="0.3">
      <c r="A17" s="2"/>
      <c r="B17" s="5" t="s">
        <v>558</v>
      </c>
      <c r="C17" s="5" t="s">
        <v>506</v>
      </c>
    </row>
    <row r="18" spans="1:3" x14ac:dyDescent="0.3">
      <c r="A18" t="s">
        <v>571</v>
      </c>
      <c r="B18" s="7">
        <v>73</v>
      </c>
      <c r="C18" s="7">
        <v>102</v>
      </c>
    </row>
    <row r="19" spans="1:3" x14ac:dyDescent="0.3">
      <c r="A19" t="s">
        <v>572</v>
      </c>
      <c r="B19" s="7">
        <v>77</v>
      </c>
      <c r="C19" s="7">
        <v>25</v>
      </c>
    </row>
    <row r="20" spans="1:3" x14ac:dyDescent="0.3">
      <c r="A20" t="s">
        <v>573</v>
      </c>
      <c r="B20" s="7">
        <v>0</v>
      </c>
      <c r="C20" s="7">
        <v>1</v>
      </c>
    </row>
    <row r="21" spans="1:3" x14ac:dyDescent="0.3">
      <c r="A21" t="s">
        <v>574</v>
      </c>
      <c r="B21" s="7">
        <v>6</v>
      </c>
      <c r="C21" s="7">
        <v>13</v>
      </c>
    </row>
    <row r="22" spans="1:3" x14ac:dyDescent="0.3">
      <c r="A22" s="8" t="s">
        <v>390</v>
      </c>
      <c r="B22" s="9">
        <v>156</v>
      </c>
      <c r="C22" s="9">
        <v>141</v>
      </c>
    </row>
    <row r="23" spans="1:3" x14ac:dyDescent="0.3">
      <c r="A23" t="s">
        <v>575</v>
      </c>
      <c r="B23" s="7">
        <v>11</v>
      </c>
      <c r="C23" s="7">
        <v>86</v>
      </c>
    </row>
    <row r="24" spans="1:3" x14ac:dyDescent="0.3">
      <c r="A24" t="s">
        <v>576</v>
      </c>
      <c r="B24" s="7">
        <v>5</v>
      </c>
      <c r="C24" s="7">
        <v>37</v>
      </c>
    </row>
    <row r="25" spans="1:3" x14ac:dyDescent="0.3">
      <c r="A25" t="s">
        <v>577</v>
      </c>
      <c r="B25" s="7">
        <v>12</v>
      </c>
      <c r="C25" s="7">
        <v>11</v>
      </c>
    </row>
    <row r="26" spans="1:3" x14ac:dyDescent="0.3">
      <c r="A26" t="s">
        <v>578</v>
      </c>
      <c r="B26" s="7">
        <v>5</v>
      </c>
      <c r="C26" s="7">
        <v>6</v>
      </c>
    </row>
    <row r="27" spans="1:3" x14ac:dyDescent="0.3">
      <c r="A27" s="8" t="s">
        <v>579</v>
      </c>
      <c r="B27" s="9">
        <v>33</v>
      </c>
      <c r="C27" s="9">
        <v>140</v>
      </c>
    </row>
    <row r="29" spans="1:3" x14ac:dyDescent="0.3">
      <c r="A29" s="2" t="s">
        <v>580</v>
      </c>
    </row>
    <row r="30" spans="1:3" x14ac:dyDescent="0.3">
      <c r="A30" s="2"/>
      <c r="B30" s="5" t="s">
        <v>558</v>
      </c>
      <c r="C30" s="5" t="s">
        <v>506</v>
      </c>
    </row>
    <row r="31" spans="1:3" x14ac:dyDescent="0.3">
      <c r="A31" t="s">
        <v>581</v>
      </c>
      <c r="B31" s="7">
        <v>810</v>
      </c>
      <c r="C31" s="7">
        <v>800</v>
      </c>
    </row>
    <row r="32" spans="1:3" x14ac:dyDescent="0.3">
      <c r="A32" t="s">
        <v>582</v>
      </c>
      <c r="B32" s="7">
        <v>165</v>
      </c>
      <c r="C32" s="7">
        <v>111</v>
      </c>
    </row>
    <row r="33" spans="1:3" x14ac:dyDescent="0.3">
      <c r="A33" t="s">
        <v>583</v>
      </c>
      <c r="B33" s="7">
        <v>-44</v>
      </c>
      <c r="C33" s="7">
        <v>0</v>
      </c>
    </row>
    <row r="34" spans="1:3" x14ac:dyDescent="0.3">
      <c r="A34" t="s">
        <v>584</v>
      </c>
      <c r="B34" s="7">
        <v>-85</v>
      </c>
      <c r="C34" s="7">
        <v>-101</v>
      </c>
    </row>
    <row r="35" spans="1:3" x14ac:dyDescent="0.3">
      <c r="A35" s="8" t="s">
        <v>585</v>
      </c>
      <c r="B35" s="9">
        <v>846</v>
      </c>
      <c r="C35" s="9">
        <v>810</v>
      </c>
    </row>
    <row r="37" spans="1:3" x14ac:dyDescent="0.3">
      <c r="A37" s="2" t="s">
        <v>392</v>
      </c>
    </row>
    <row r="38" spans="1:3" x14ac:dyDescent="0.3">
      <c r="A38" s="2"/>
      <c r="B38" s="5" t="s">
        <v>558</v>
      </c>
      <c r="C38" s="5" t="s">
        <v>506</v>
      </c>
    </row>
    <row r="39" spans="1:3" x14ac:dyDescent="0.3">
      <c r="A39" t="s">
        <v>169</v>
      </c>
      <c r="B39" s="7">
        <v>1268</v>
      </c>
      <c r="C39" s="7">
        <v>362</v>
      </c>
    </row>
    <row r="40" spans="1:3" x14ac:dyDescent="0.3">
      <c r="A40" t="s">
        <v>586</v>
      </c>
      <c r="B40" s="7">
        <v>0</v>
      </c>
      <c r="C40" s="7">
        <v>906</v>
      </c>
    </row>
    <row r="41" spans="1:3" x14ac:dyDescent="0.3">
      <c r="A41" s="8" t="s">
        <v>171</v>
      </c>
      <c r="B41" s="9">
        <v>1268</v>
      </c>
      <c r="C41" s="9">
        <v>1268</v>
      </c>
    </row>
    <row r="42" spans="1:3" x14ac:dyDescent="0.3">
      <c r="A42" s="4" t="s">
        <v>587</v>
      </c>
    </row>
    <row r="43" spans="1:3" x14ac:dyDescent="0.3">
      <c r="A43" s="4" t="s">
        <v>588</v>
      </c>
    </row>
    <row r="45" spans="1:3" x14ac:dyDescent="0.3">
      <c r="A45" s="2" t="s">
        <v>395</v>
      </c>
    </row>
    <row r="46" spans="1:3" x14ac:dyDescent="0.3">
      <c r="A46" s="2"/>
      <c r="B46" s="5" t="s">
        <v>558</v>
      </c>
      <c r="C46" s="5" t="s">
        <v>506</v>
      </c>
    </row>
    <row r="47" spans="1:3" x14ac:dyDescent="0.3">
      <c r="A47" t="s">
        <v>589</v>
      </c>
      <c r="B47" s="7">
        <v>30810</v>
      </c>
      <c r="C47" s="7">
        <v>28085</v>
      </c>
    </row>
    <row r="48" spans="1:3" x14ac:dyDescent="0.3">
      <c r="A48" t="s">
        <v>590</v>
      </c>
      <c r="B48" s="7">
        <v>2170</v>
      </c>
      <c r="C48" s="7">
        <v>2170</v>
      </c>
    </row>
    <row r="49" spans="1:3" x14ac:dyDescent="0.3">
      <c r="A49" t="s">
        <v>591</v>
      </c>
      <c r="B49" s="7">
        <v>634</v>
      </c>
      <c r="C49" s="7">
        <v>729</v>
      </c>
    </row>
    <row r="50" spans="1:3" x14ac:dyDescent="0.3">
      <c r="A50" t="s">
        <v>592</v>
      </c>
      <c r="B50" s="7">
        <v>475</v>
      </c>
      <c r="C50" s="7">
        <v>475</v>
      </c>
    </row>
    <row r="51" spans="1:3" x14ac:dyDescent="0.3">
      <c r="A51" t="s">
        <v>593</v>
      </c>
      <c r="B51" s="7">
        <v>20</v>
      </c>
      <c r="C51" s="7">
        <v>0</v>
      </c>
    </row>
    <row r="52" spans="1:3" x14ac:dyDescent="0.3">
      <c r="A52" t="s">
        <v>594</v>
      </c>
      <c r="B52" s="7">
        <v>217</v>
      </c>
      <c r="C52" s="7">
        <v>778</v>
      </c>
    </row>
    <row r="53" spans="1:3" x14ac:dyDescent="0.3">
      <c r="A53" t="s">
        <v>595</v>
      </c>
      <c r="B53" s="7">
        <v>286</v>
      </c>
      <c r="C53" s="7">
        <v>213</v>
      </c>
    </row>
    <row r="54" spans="1:3" x14ac:dyDescent="0.3">
      <c r="A54" t="s">
        <v>596</v>
      </c>
      <c r="B54" s="7">
        <v>296</v>
      </c>
      <c r="C54" s="7">
        <v>276</v>
      </c>
    </row>
    <row r="55" spans="1:3" x14ac:dyDescent="0.3">
      <c r="A55" t="s">
        <v>597</v>
      </c>
      <c r="B55" s="7">
        <v>23535</v>
      </c>
      <c r="C55" s="7">
        <v>0</v>
      </c>
    </row>
    <row r="56" spans="1:3" x14ac:dyDescent="0.3">
      <c r="A56" t="s">
        <v>598</v>
      </c>
      <c r="B56" s="7">
        <v>450</v>
      </c>
      <c r="C56" s="7">
        <v>450</v>
      </c>
    </row>
    <row r="57" spans="1:3" x14ac:dyDescent="0.3">
      <c r="A57" t="s">
        <v>599</v>
      </c>
      <c r="B57" s="7">
        <v>50</v>
      </c>
      <c r="C57" s="7">
        <v>0</v>
      </c>
    </row>
    <row r="58" spans="1:3" x14ac:dyDescent="0.3">
      <c r="A58" s="8" t="s">
        <v>476</v>
      </c>
      <c r="B58" s="9">
        <v>58943</v>
      </c>
      <c r="C58" s="9">
        <v>33176</v>
      </c>
    </row>
    <row r="59" spans="1:3" x14ac:dyDescent="0.3">
      <c r="A59" t="s">
        <v>600</v>
      </c>
      <c r="B59" s="7">
        <v>450</v>
      </c>
      <c r="C59" s="7">
        <v>450</v>
      </c>
    </row>
    <row r="60" spans="1:3" x14ac:dyDescent="0.3">
      <c r="A60" t="s">
        <v>601</v>
      </c>
      <c r="B60" s="7">
        <v>59207</v>
      </c>
      <c r="C60" s="7">
        <v>32726</v>
      </c>
    </row>
    <row r="61" spans="1:3" x14ac:dyDescent="0.3">
      <c r="A61" t="s">
        <v>602</v>
      </c>
      <c r="B61" s="7">
        <v>-714</v>
      </c>
      <c r="C61" s="7">
        <v>0</v>
      </c>
    </row>
    <row r="62" spans="1:3" x14ac:dyDescent="0.3">
      <c r="A62" t="s">
        <v>603</v>
      </c>
      <c r="B62" s="7">
        <v>19140</v>
      </c>
      <c r="C62" s="7">
        <v>29132</v>
      </c>
    </row>
    <row r="63" spans="1:3" x14ac:dyDescent="0.3">
      <c r="A63" t="s">
        <v>529</v>
      </c>
      <c r="B63" s="7">
        <v>0</v>
      </c>
      <c r="C63" s="7">
        <v>420</v>
      </c>
    </row>
    <row r="64" spans="1:3" x14ac:dyDescent="0.3">
      <c r="A64" t="s">
        <v>604</v>
      </c>
      <c r="B64" s="7">
        <v>595</v>
      </c>
      <c r="C64" s="7">
        <v>51</v>
      </c>
    </row>
    <row r="65" spans="1:3" x14ac:dyDescent="0.3">
      <c r="A65" t="s">
        <v>605</v>
      </c>
      <c r="B65" s="7">
        <v>19512</v>
      </c>
      <c r="C65" s="7">
        <v>10936</v>
      </c>
    </row>
    <row r="66" spans="1:3" x14ac:dyDescent="0.3">
      <c r="A66" t="s">
        <v>606</v>
      </c>
      <c r="B66" s="7">
        <v>0</v>
      </c>
      <c r="C66" s="7">
        <v>25</v>
      </c>
    </row>
    <row r="67" spans="1:3" x14ac:dyDescent="0.3">
      <c r="A67" t="s">
        <v>607</v>
      </c>
      <c r="B67" s="7">
        <v>368</v>
      </c>
      <c r="C67" s="7">
        <v>77</v>
      </c>
    </row>
    <row r="68" spans="1:3" x14ac:dyDescent="0.3">
      <c r="A68" t="s">
        <v>608</v>
      </c>
      <c r="B68" s="7">
        <v>27010</v>
      </c>
      <c r="C68" s="7">
        <v>32691</v>
      </c>
    </row>
    <row r="69" spans="1:3" x14ac:dyDescent="0.3">
      <c r="A69" t="s">
        <v>609</v>
      </c>
      <c r="B69" s="7">
        <v>4000</v>
      </c>
      <c r="C69" s="7">
        <v>0</v>
      </c>
    </row>
    <row r="70" spans="1:3" x14ac:dyDescent="0.3">
      <c r="A70" s="8" t="s">
        <v>481</v>
      </c>
      <c r="B70" s="9">
        <v>70625</v>
      </c>
      <c r="C70" s="9">
        <v>73332</v>
      </c>
    </row>
    <row r="71" spans="1:3" x14ac:dyDescent="0.3">
      <c r="A71" t="s">
        <v>610</v>
      </c>
      <c r="B71" s="7">
        <v>47117</v>
      </c>
      <c r="C71" s="7">
        <v>44123</v>
      </c>
    </row>
    <row r="72" spans="1:3" x14ac:dyDescent="0.3">
      <c r="A72" t="s">
        <v>611</v>
      </c>
      <c r="B72" s="7">
        <v>23508</v>
      </c>
      <c r="C72" s="7">
        <v>29209</v>
      </c>
    </row>
    <row r="73" spans="1:3" x14ac:dyDescent="0.3">
      <c r="A73" t="s">
        <v>612</v>
      </c>
      <c r="B73" s="7">
        <v>0</v>
      </c>
      <c r="C73" s="7">
        <v>0</v>
      </c>
    </row>
    <row r="75" spans="1:3" x14ac:dyDescent="0.3">
      <c r="A75" s="2" t="s">
        <v>613</v>
      </c>
    </row>
    <row r="76" spans="1:3" x14ac:dyDescent="0.3">
      <c r="A76" s="2"/>
      <c r="B76" s="5" t="s">
        <v>558</v>
      </c>
      <c r="C76" s="5" t="s">
        <v>506</v>
      </c>
    </row>
    <row r="77" spans="1:3" x14ac:dyDescent="0.3">
      <c r="A77" t="s">
        <v>192</v>
      </c>
      <c r="B77" s="7">
        <v>16522</v>
      </c>
      <c r="C77" s="7">
        <v>18265</v>
      </c>
    </row>
    <row r="78" spans="1:3" x14ac:dyDescent="0.3">
      <c r="A78" t="s">
        <v>406</v>
      </c>
      <c r="B78" s="7">
        <v>5749</v>
      </c>
      <c r="C78" s="7">
        <v>2727</v>
      </c>
    </row>
    <row r="80" spans="1:3" x14ac:dyDescent="0.3">
      <c r="A80" s="2" t="s">
        <v>407</v>
      </c>
    </row>
    <row r="81" spans="1:3" x14ac:dyDescent="0.3">
      <c r="A81" s="2"/>
      <c r="B81" s="5" t="s">
        <v>558</v>
      </c>
      <c r="C81" s="5" t="s">
        <v>506</v>
      </c>
    </row>
    <row r="82" spans="1:3" x14ac:dyDescent="0.3">
      <c r="A82" t="s">
        <v>191</v>
      </c>
      <c r="B82" s="7">
        <v>4</v>
      </c>
      <c r="C82" s="7">
        <v>4</v>
      </c>
    </row>
    <row r="83" spans="1:3" x14ac:dyDescent="0.3">
      <c r="A83" t="s">
        <v>199</v>
      </c>
      <c r="B83" s="7">
        <v>140</v>
      </c>
      <c r="C83" s="7">
        <v>102</v>
      </c>
    </row>
    <row r="84" spans="1:3" x14ac:dyDescent="0.3">
      <c r="A84" s="8" t="s">
        <v>193</v>
      </c>
      <c r="B84" s="9">
        <v>144</v>
      </c>
      <c r="C84" s="9">
        <v>106</v>
      </c>
    </row>
    <row r="85" spans="1:3" x14ac:dyDescent="0.3">
      <c r="A85" t="s">
        <v>194</v>
      </c>
      <c r="B85" s="7">
        <v>210</v>
      </c>
      <c r="C85" s="7">
        <v>137</v>
      </c>
    </row>
    <row r="86" spans="1:3" x14ac:dyDescent="0.3">
      <c r="A86" t="s">
        <v>201</v>
      </c>
      <c r="B86" s="7">
        <v>357</v>
      </c>
      <c r="C86" s="7">
        <v>394</v>
      </c>
    </row>
    <row r="87" spans="1:3" x14ac:dyDescent="0.3">
      <c r="A87" t="s">
        <v>202</v>
      </c>
      <c r="B87" s="7">
        <v>23</v>
      </c>
      <c r="C87" s="7">
        <v>6</v>
      </c>
    </row>
    <row r="88" spans="1:3" x14ac:dyDescent="0.3">
      <c r="A88" t="s">
        <v>196</v>
      </c>
      <c r="B88" s="7">
        <v>595</v>
      </c>
      <c r="C88" s="7">
        <v>746</v>
      </c>
    </row>
    <row r="89" spans="1:3" x14ac:dyDescent="0.3">
      <c r="A89" t="s">
        <v>203</v>
      </c>
      <c r="B89" s="7">
        <v>28</v>
      </c>
      <c r="C89" s="7">
        <v>36</v>
      </c>
    </row>
    <row r="90" spans="1:3" x14ac:dyDescent="0.3">
      <c r="A90" s="8" t="s">
        <v>197</v>
      </c>
      <c r="B90" s="9">
        <v>1213</v>
      </c>
      <c r="C90" s="9">
        <v>1319</v>
      </c>
    </row>
    <row r="92" spans="1:3" x14ac:dyDescent="0.3">
      <c r="A92" s="2" t="s">
        <v>409</v>
      </c>
    </row>
    <row r="93" spans="1:3" x14ac:dyDescent="0.3">
      <c r="A93" s="2"/>
      <c r="B93" s="5" t="s">
        <v>558</v>
      </c>
      <c r="C93" s="5" t="s">
        <v>506</v>
      </c>
    </row>
    <row r="94" spans="1:3" x14ac:dyDescent="0.3">
      <c r="A94" t="s">
        <v>205</v>
      </c>
      <c r="B94" s="7">
        <v>44</v>
      </c>
      <c r="C94" s="7">
        <v>26</v>
      </c>
    </row>
    <row r="95" spans="1:3" x14ac:dyDescent="0.3">
      <c r="A95" t="s">
        <v>206</v>
      </c>
      <c r="B95" s="7">
        <v>10</v>
      </c>
      <c r="C95" s="7">
        <v>14</v>
      </c>
    </row>
    <row r="96" spans="1:3" x14ac:dyDescent="0.3">
      <c r="A96" t="s">
        <v>485</v>
      </c>
      <c r="B96" s="7">
        <v>1260</v>
      </c>
      <c r="C96" s="7">
        <v>1088</v>
      </c>
    </row>
    <row r="97" spans="1:3" x14ac:dyDescent="0.3">
      <c r="A97" t="s">
        <v>614</v>
      </c>
      <c r="B97" s="7">
        <v>3</v>
      </c>
      <c r="C97" s="7">
        <v>12</v>
      </c>
    </row>
    <row r="98" spans="1:3" x14ac:dyDescent="0.3">
      <c r="A98" s="8" t="s">
        <v>193</v>
      </c>
      <c r="B98" s="9">
        <v>1317</v>
      </c>
      <c r="C98" s="9">
        <v>1140</v>
      </c>
    </row>
    <row r="99" spans="1:3" x14ac:dyDescent="0.3">
      <c r="A99" t="s">
        <v>209</v>
      </c>
      <c r="B99" s="7">
        <v>776</v>
      </c>
      <c r="C99" s="7">
        <v>594</v>
      </c>
    </row>
    <row r="100" spans="1:3" x14ac:dyDescent="0.3">
      <c r="A100" t="s">
        <v>208</v>
      </c>
      <c r="B100" s="7">
        <v>345</v>
      </c>
      <c r="C100" s="7">
        <v>972</v>
      </c>
    </row>
    <row r="101" spans="1:3" x14ac:dyDescent="0.3">
      <c r="A101" t="s">
        <v>210</v>
      </c>
      <c r="B101" s="7">
        <v>182</v>
      </c>
      <c r="C101" s="7">
        <v>176</v>
      </c>
    </row>
    <row r="102" spans="1:3" x14ac:dyDescent="0.3">
      <c r="A102" t="s">
        <v>200</v>
      </c>
      <c r="B102" s="7">
        <v>57</v>
      </c>
      <c r="C102" s="7">
        <v>46</v>
      </c>
    </row>
    <row r="103" spans="1:3" x14ac:dyDescent="0.3">
      <c r="A103" t="s">
        <v>408</v>
      </c>
      <c r="B103" s="7">
        <v>318</v>
      </c>
      <c r="C103" s="7">
        <v>275</v>
      </c>
    </row>
    <row r="104" spans="1:3" x14ac:dyDescent="0.3">
      <c r="A104" s="8" t="s">
        <v>197</v>
      </c>
      <c r="B104" s="9">
        <v>1678</v>
      </c>
      <c r="C104" s="9">
        <v>2063</v>
      </c>
    </row>
    <row r="105" spans="1:3" x14ac:dyDescent="0.3">
      <c r="A105" t="s">
        <v>486</v>
      </c>
      <c r="B105" s="7">
        <v>8</v>
      </c>
      <c r="C105" s="7">
        <v>53</v>
      </c>
    </row>
    <row r="107" spans="1:3" x14ac:dyDescent="0.3">
      <c r="A107" s="2" t="s">
        <v>410</v>
      </c>
    </row>
    <row r="108" spans="1:3" x14ac:dyDescent="0.3">
      <c r="A108" s="2"/>
      <c r="B108" s="5" t="s">
        <v>558</v>
      </c>
      <c r="C108" s="5" t="s">
        <v>506</v>
      </c>
    </row>
    <row r="109" spans="1:3" x14ac:dyDescent="0.3">
      <c r="A109" t="s">
        <v>214</v>
      </c>
      <c r="B109" s="7">
        <v>2600</v>
      </c>
      <c r="C109" s="7">
        <v>2101</v>
      </c>
    </row>
    <row r="110" spans="1:3" x14ac:dyDescent="0.3">
      <c r="A110" t="s">
        <v>215</v>
      </c>
      <c r="B110" s="7">
        <v>1821</v>
      </c>
      <c r="C110" s="7">
        <v>1642</v>
      </c>
    </row>
    <row r="111" spans="1:3" x14ac:dyDescent="0.3">
      <c r="A111" t="s">
        <v>216</v>
      </c>
      <c r="B111" s="7">
        <v>1667</v>
      </c>
      <c r="C111" s="7">
        <v>1426</v>
      </c>
    </row>
    <row r="112" spans="1:3" x14ac:dyDescent="0.3">
      <c r="A112" t="s">
        <v>217</v>
      </c>
      <c r="B112" s="7">
        <v>750</v>
      </c>
      <c r="C112" s="7">
        <v>877</v>
      </c>
    </row>
    <row r="113" spans="1:3" x14ac:dyDescent="0.3">
      <c r="A113" t="s">
        <v>218</v>
      </c>
      <c r="B113" s="7">
        <v>281</v>
      </c>
      <c r="C113" s="7">
        <v>356</v>
      </c>
    </row>
    <row r="114" spans="1:3" x14ac:dyDescent="0.3">
      <c r="A114" s="8" t="s">
        <v>219</v>
      </c>
      <c r="B114" s="9">
        <v>7119</v>
      </c>
      <c r="C114" s="9">
        <v>6402</v>
      </c>
    </row>
    <row r="116" spans="1:3" x14ac:dyDescent="0.3">
      <c r="A116" s="2" t="s">
        <v>411</v>
      </c>
    </row>
    <row r="117" spans="1:3" x14ac:dyDescent="0.3">
      <c r="A117" s="2"/>
      <c r="B117" s="5" t="s">
        <v>558</v>
      </c>
      <c r="C117" s="5" t="s">
        <v>506</v>
      </c>
    </row>
    <row r="118" spans="1:3" x14ac:dyDescent="0.3">
      <c r="A118" t="s">
        <v>412</v>
      </c>
      <c r="B118" s="7">
        <v>0</v>
      </c>
      <c r="C118" s="7">
        <v>45</v>
      </c>
    </row>
    <row r="119" spans="1:3" x14ac:dyDescent="0.3">
      <c r="A119" t="s">
        <v>413</v>
      </c>
      <c r="B119" s="7">
        <v>6128</v>
      </c>
      <c r="C119" s="7">
        <v>7693</v>
      </c>
    </row>
    <row r="120" spans="1:3" x14ac:dyDescent="0.3">
      <c r="A120" t="s">
        <v>414</v>
      </c>
      <c r="B120" s="7">
        <v>22</v>
      </c>
      <c r="C120" s="7">
        <v>128</v>
      </c>
    </row>
    <row r="121" spans="1:3" x14ac:dyDescent="0.3">
      <c r="A121" t="s">
        <v>533</v>
      </c>
      <c r="B121" s="7">
        <v>-218</v>
      </c>
      <c r="C121" s="7">
        <v>-476</v>
      </c>
    </row>
    <row r="122" spans="1:3" x14ac:dyDescent="0.3">
      <c r="A122" s="8" t="s">
        <v>416</v>
      </c>
      <c r="B122" s="9">
        <v>5932</v>
      </c>
      <c r="C122" s="9">
        <v>7345</v>
      </c>
    </row>
    <row r="123" spans="1:3" x14ac:dyDescent="0.3">
      <c r="A123" t="s">
        <v>225</v>
      </c>
      <c r="B123" s="7">
        <v>476</v>
      </c>
      <c r="C123" s="7">
        <v>435</v>
      </c>
    </row>
    <row r="124" spans="1:3" x14ac:dyDescent="0.3">
      <c r="A124" t="s">
        <v>226</v>
      </c>
      <c r="B124" s="7">
        <v>114</v>
      </c>
      <c r="C124" s="7">
        <v>57</v>
      </c>
    </row>
    <row r="125" spans="1:3" x14ac:dyDescent="0.3">
      <c r="A125" t="s">
        <v>227</v>
      </c>
      <c r="B125" s="7">
        <v>-372</v>
      </c>
      <c r="C125" s="7">
        <v>-16</v>
      </c>
    </row>
    <row r="126" spans="1:3" x14ac:dyDescent="0.3">
      <c r="A126" s="8" t="s">
        <v>228</v>
      </c>
      <c r="B126" s="9">
        <v>218</v>
      </c>
      <c r="C126" s="9">
        <v>476</v>
      </c>
    </row>
    <row r="128" spans="1:3" x14ac:dyDescent="0.3">
      <c r="A128" s="2" t="s">
        <v>417</v>
      </c>
    </row>
    <row r="129" spans="1:3" x14ac:dyDescent="0.3">
      <c r="A129" s="2"/>
      <c r="B129" s="5" t="s">
        <v>558</v>
      </c>
      <c r="C129" s="5" t="s">
        <v>506</v>
      </c>
    </row>
    <row r="130" spans="1:3" x14ac:dyDescent="0.3">
      <c r="A130" t="s">
        <v>207</v>
      </c>
      <c r="B130" s="7">
        <v>7</v>
      </c>
      <c r="C130" s="7">
        <v>0</v>
      </c>
    </row>
    <row r="131" spans="1:3" x14ac:dyDescent="0.3">
      <c r="A131" t="s">
        <v>615</v>
      </c>
      <c r="B131" s="7">
        <v>9</v>
      </c>
      <c r="C131" s="7">
        <v>0</v>
      </c>
    </row>
    <row r="132" spans="1:3" x14ac:dyDescent="0.3">
      <c r="A132" t="s">
        <v>408</v>
      </c>
      <c r="B132" s="7">
        <v>1</v>
      </c>
      <c r="C132" s="7">
        <v>5</v>
      </c>
    </row>
    <row r="133" spans="1:3" x14ac:dyDescent="0.3">
      <c r="A133" s="8" t="s">
        <v>197</v>
      </c>
      <c r="B133" s="9">
        <v>10</v>
      </c>
      <c r="C133" s="9">
        <v>5</v>
      </c>
    </row>
    <row r="135" spans="1:3" x14ac:dyDescent="0.3">
      <c r="A135" s="2" t="s">
        <v>418</v>
      </c>
    </row>
    <row r="136" spans="1:3" x14ac:dyDescent="0.3">
      <c r="A136" s="2"/>
      <c r="B136" s="5" t="s">
        <v>558</v>
      </c>
      <c r="C136" s="5" t="s">
        <v>506</v>
      </c>
    </row>
    <row r="137" spans="1:3" x14ac:dyDescent="0.3">
      <c r="A137" t="s">
        <v>234</v>
      </c>
      <c r="B137" s="7">
        <v>204</v>
      </c>
      <c r="C137" s="7">
        <v>314</v>
      </c>
    </row>
    <row r="138" spans="1:3" x14ac:dyDescent="0.3">
      <c r="A138" t="s">
        <v>235</v>
      </c>
      <c r="B138" s="7">
        <v>430</v>
      </c>
      <c r="C138" s="7">
        <v>1300</v>
      </c>
    </row>
    <row r="139" spans="1:3" x14ac:dyDescent="0.3">
      <c r="A139" t="s">
        <v>153</v>
      </c>
      <c r="B139" s="7">
        <v>1513</v>
      </c>
      <c r="C139" s="7">
        <v>1295</v>
      </c>
    </row>
    <row r="140" spans="1:3" x14ac:dyDescent="0.3">
      <c r="A140" t="s">
        <v>154</v>
      </c>
      <c r="B140" s="7">
        <v>1131</v>
      </c>
      <c r="C140" s="7">
        <v>400</v>
      </c>
    </row>
    <row r="141" spans="1:3" x14ac:dyDescent="0.3">
      <c r="A141" s="8" t="s">
        <v>165</v>
      </c>
      <c r="B141" s="9">
        <v>3278</v>
      </c>
      <c r="C141" s="9">
        <v>3309</v>
      </c>
    </row>
    <row r="143" spans="1:3" x14ac:dyDescent="0.3">
      <c r="A143" s="2" t="s">
        <v>419</v>
      </c>
    </row>
    <row r="144" spans="1:3" x14ac:dyDescent="0.3">
      <c r="A144" s="2"/>
      <c r="B144" s="5" t="s">
        <v>616</v>
      </c>
      <c r="C144" s="5" t="s">
        <v>617</v>
      </c>
    </row>
    <row r="145" spans="1:3" x14ac:dyDescent="0.3">
      <c r="A145" t="s">
        <v>618</v>
      </c>
      <c r="B145" s="7">
        <v>10100</v>
      </c>
      <c r="C145" s="7">
        <v>5100</v>
      </c>
    </row>
    <row r="146" spans="1:3" x14ac:dyDescent="0.3">
      <c r="A146" t="s">
        <v>619</v>
      </c>
      <c r="B146" s="7">
        <v>0</v>
      </c>
      <c r="C146" s="7">
        <v>50</v>
      </c>
    </row>
    <row r="147" spans="1:3" x14ac:dyDescent="0.3">
      <c r="A147" t="s">
        <v>620</v>
      </c>
      <c r="B147" s="7">
        <v>39900</v>
      </c>
      <c r="C147" s="7">
        <v>0</v>
      </c>
    </row>
    <row r="148" spans="1:3" x14ac:dyDescent="0.3">
      <c r="A148" s="8" t="s">
        <v>241</v>
      </c>
      <c r="B148" s="9">
        <v>50000</v>
      </c>
      <c r="C148" s="9">
        <v>5150</v>
      </c>
    </row>
    <row r="149" spans="1:3" x14ac:dyDescent="0.3">
      <c r="A149" t="s">
        <v>621</v>
      </c>
      <c r="B149" s="7">
        <v>4837</v>
      </c>
      <c r="C149" s="7">
        <v>4837</v>
      </c>
    </row>
    <row r="150" spans="1:3" x14ac:dyDescent="0.3">
      <c r="A150" s="4" t="s">
        <v>622</v>
      </c>
    </row>
    <row r="151" spans="1:3" x14ac:dyDescent="0.3">
      <c r="A151" s="4" t="s">
        <v>623</v>
      </c>
    </row>
    <row r="153" spans="1:3" x14ac:dyDescent="0.3">
      <c r="A153" s="2" t="s">
        <v>423</v>
      </c>
    </row>
    <row r="154" spans="1:3" x14ac:dyDescent="0.3">
      <c r="A154" s="2"/>
      <c r="B154" s="5" t="s">
        <v>558</v>
      </c>
      <c r="C154" s="5" t="s">
        <v>506</v>
      </c>
    </row>
    <row r="155" spans="1:3" x14ac:dyDescent="0.3">
      <c r="A155" t="s">
        <v>424</v>
      </c>
      <c r="B155" s="7">
        <v>0</v>
      </c>
      <c r="C155" s="7">
        <v>9967</v>
      </c>
    </row>
    <row r="156" spans="1:3" x14ac:dyDescent="0.3">
      <c r="A156" t="s">
        <v>624</v>
      </c>
      <c r="B156" s="7">
        <v>10350</v>
      </c>
      <c r="C156" s="7">
        <v>0</v>
      </c>
    </row>
    <row r="157" spans="1:3" x14ac:dyDescent="0.3">
      <c r="A157" t="s">
        <v>425</v>
      </c>
      <c r="B157" s="7">
        <v>11201</v>
      </c>
      <c r="C157" s="7">
        <v>2000</v>
      </c>
    </row>
    <row r="158" spans="1:3" x14ac:dyDescent="0.3">
      <c r="A158" s="8" t="s">
        <v>193</v>
      </c>
      <c r="B158" s="9">
        <v>21551</v>
      </c>
      <c r="C158" s="9">
        <v>11967</v>
      </c>
    </row>
    <row r="159" spans="1:3" x14ac:dyDescent="0.3">
      <c r="A159" t="s">
        <v>489</v>
      </c>
      <c r="B159" s="7">
        <v>9996</v>
      </c>
      <c r="C159" s="7">
        <v>3000</v>
      </c>
    </row>
    <row r="160" spans="1:3" x14ac:dyDescent="0.3">
      <c r="A160" t="s">
        <v>625</v>
      </c>
      <c r="B160" s="7">
        <v>1242</v>
      </c>
      <c r="C160" s="7">
        <v>0</v>
      </c>
    </row>
    <row r="161" spans="1:3" x14ac:dyDescent="0.3">
      <c r="A161" s="8" t="s">
        <v>626</v>
      </c>
      <c r="B161" s="9">
        <v>11238</v>
      </c>
      <c r="C161" s="9">
        <v>3000</v>
      </c>
    </row>
    <row r="162" spans="1:3" x14ac:dyDescent="0.3">
      <c r="A162" t="s">
        <v>248</v>
      </c>
      <c r="B162" s="7">
        <v>5181</v>
      </c>
      <c r="C162" s="7">
        <v>8032</v>
      </c>
    </row>
    <row r="163" spans="1:3" x14ac:dyDescent="0.3">
      <c r="A163" s="8" t="s">
        <v>250</v>
      </c>
      <c r="B163" s="9">
        <v>16419</v>
      </c>
      <c r="C163" s="9">
        <v>11032</v>
      </c>
    </row>
    <row r="165" spans="1:3" x14ac:dyDescent="0.3">
      <c r="A165" s="2" t="s">
        <v>427</v>
      </c>
    </row>
    <row r="166" spans="1:3" x14ac:dyDescent="0.3">
      <c r="A166" s="2"/>
      <c r="B166" s="5" t="s">
        <v>558</v>
      </c>
      <c r="C166" s="5" t="s">
        <v>506</v>
      </c>
    </row>
    <row r="167" spans="1:3" x14ac:dyDescent="0.3">
      <c r="A167" t="s">
        <v>627</v>
      </c>
      <c r="B167" s="7">
        <v>58</v>
      </c>
      <c r="C167" s="7">
        <v>233</v>
      </c>
    </row>
    <row r="168" spans="1:3" x14ac:dyDescent="0.3">
      <c r="A168" t="s">
        <v>536</v>
      </c>
      <c r="B168" s="7">
        <v>97</v>
      </c>
      <c r="C168" s="7">
        <v>87</v>
      </c>
    </row>
    <row r="169" spans="1:3" x14ac:dyDescent="0.3">
      <c r="A169" s="8" t="s">
        <v>193</v>
      </c>
      <c r="B169" s="9">
        <v>155</v>
      </c>
      <c r="C169" s="9">
        <v>320</v>
      </c>
    </row>
    <row r="170" spans="1:3" x14ac:dyDescent="0.3">
      <c r="A170" t="s">
        <v>628</v>
      </c>
      <c r="B170" s="7">
        <v>55</v>
      </c>
      <c r="C170" s="7">
        <v>6</v>
      </c>
    </row>
    <row r="171" spans="1:3" x14ac:dyDescent="0.3">
      <c r="A171" t="s">
        <v>254</v>
      </c>
      <c r="B171" s="7">
        <v>152</v>
      </c>
      <c r="C171" s="7">
        <v>156</v>
      </c>
    </row>
    <row r="172" spans="1:3" x14ac:dyDescent="0.3">
      <c r="A172" t="s">
        <v>492</v>
      </c>
      <c r="B172" s="7">
        <v>1</v>
      </c>
      <c r="C172" s="7">
        <v>1</v>
      </c>
    </row>
    <row r="173" spans="1:3" x14ac:dyDescent="0.3">
      <c r="A173" s="8" t="s">
        <v>197</v>
      </c>
      <c r="B173" s="9">
        <v>208</v>
      </c>
      <c r="C173" s="9">
        <v>163</v>
      </c>
    </row>
    <row r="175" spans="1:3" x14ac:dyDescent="0.3">
      <c r="A175" s="2" t="s">
        <v>428</v>
      </c>
    </row>
    <row r="176" spans="1:3" x14ac:dyDescent="0.3">
      <c r="A176" s="2"/>
      <c r="B176" s="5" t="s">
        <v>558</v>
      </c>
      <c r="C176" s="5" t="s">
        <v>506</v>
      </c>
    </row>
    <row r="177" spans="1:3" x14ac:dyDescent="0.3">
      <c r="A177" t="s">
        <v>629</v>
      </c>
      <c r="B177" s="7">
        <v>144</v>
      </c>
      <c r="C177" s="7">
        <v>199</v>
      </c>
    </row>
    <row r="178" spans="1:3" x14ac:dyDescent="0.3">
      <c r="A178" t="s">
        <v>258</v>
      </c>
      <c r="B178" s="7">
        <v>129</v>
      </c>
      <c r="C178" s="7">
        <v>12</v>
      </c>
    </row>
    <row r="179" spans="1:3" x14ac:dyDescent="0.3">
      <c r="A179" t="s">
        <v>259</v>
      </c>
      <c r="B179" s="7">
        <v>437</v>
      </c>
      <c r="C179" s="7">
        <v>485</v>
      </c>
    </row>
    <row r="180" spans="1:3" x14ac:dyDescent="0.3">
      <c r="A180" t="s">
        <v>630</v>
      </c>
      <c r="B180" s="7">
        <v>1446</v>
      </c>
      <c r="C180" s="7">
        <v>1461</v>
      </c>
    </row>
    <row r="181" spans="1:3" x14ac:dyDescent="0.3">
      <c r="A181" t="s">
        <v>408</v>
      </c>
      <c r="B181" s="7">
        <v>7</v>
      </c>
      <c r="C181" s="7">
        <v>7</v>
      </c>
    </row>
    <row r="182" spans="1:3" x14ac:dyDescent="0.3">
      <c r="A182" s="8" t="s">
        <v>197</v>
      </c>
      <c r="B182" s="9">
        <v>2163</v>
      </c>
      <c r="C182" s="9">
        <v>2164</v>
      </c>
    </row>
    <row r="184" spans="1:3" x14ac:dyDescent="0.3">
      <c r="A184" s="2" t="s">
        <v>429</v>
      </c>
    </row>
    <row r="185" spans="1:3" x14ac:dyDescent="0.3">
      <c r="A185" s="2"/>
      <c r="B185" s="5" t="s">
        <v>558</v>
      </c>
      <c r="C185" s="5" t="s">
        <v>506</v>
      </c>
    </row>
    <row r="186" spans="1:3" x14ac:dyDescent="0.3">
      <c r="A186" t="s">
        <v>262</v>
      </c>
      <c r="B186" s="7">
        <v>170</v>
      </c>
      <c r="C186" s="7">
        <v>199</v>
      </c>
    </row>
    <row r="187" spans="1:3" x14ac:dyDescent="0.3">
      <c r="A187" t="s">
        <v>263</v>
      </c>
      <c r="B187" s="7">
        <v>352</v>
      </c>
      <c r="C187" s="7">
        <v>279</v>
      </c>
    </row>
    <row r="188" spans="1:3" x14ac:dyDescent="0.3">
      <c r="A188" t="s">
        <v>264</v>
      </c>
      <c r="B188" s="7">
        <v>546</v>
      </c>
      <c r="C188" s="7">
        <v>134</v>
      </c>
    </row>
    <row r="189" spans="1:3" x14ac:dyDescent="0.3">
      <c r="A189" t="s">
        <v>493</v>
      </c>
      <c r="B189" s="7">
        <v>110</v>
      </c>
      <c r="C189" s="7">
        <v>105</v>
      </c>
    </row>
    <row r="190" spans="1:3" x14ac:dyDescent="0.3">
      <c r="A190" t="s">
        <v>265</v>
      </c>
      <c r="B190" s="7">
        <v>222</v>
      </c>
      <c r="C190" s="7">
        <v>139</v>
      </c>
    </row>
    <row r="191" spans="1:3" x14ac:dyDescent="0.3">
      <c r="A191" s="8" t="s">
        <v>165</v>
      </c>
      <c r="B191" s="9">
        <v>1400</v>
      </c>
      <c r="C191" s="9">
        <v>855</v>
      </c>
    </row>
    <row r="193" spans="1:3" x14ac:dyDescent="0.3">
      <c r="A193" s="2" t="s">
        <v>430</v>
      </c>
    </row>
    <row r="194" spans="1:3" x14ac:dyDescent="0.3">
      <c r="A194" s="2"/>
      <c r="B194" s="5" t="s">
        <v>558</v>
      </c>
      <c r="C194" s="5" t="s">
        <v>506</v>
      </c>
    </row>
    <row r="195" spans="1:3" x14ac:dyDescent="0.3">
      <c r="A195" t="s">
        <v>540</v>
      </c>
      <c r="B195" s="7">
        <v>0</v>
      </c>
      <c r="C195" s="7">
        <v>1212</v>
      </c>
    </row>
    <row r="196" spans="1:3" x14ac:dyDescent="0.3">
      <c r="A196" t="s">
        <v>207</v>
      </c>
      <c r="B196" s="7">
        <v>0</v>
      </c>
      <c r="C196" s="7">
        <v>43</v>
      </c>
    </row>
    <row r="197" spans="1:3" x14ac:dyDescent="0.3">
      <c r="A197" s="8" t="s">
        <v>193</v>
      </c>
      <c r="B197" s="9">
        <v>0</v>
      </c>
      <c r="C197" s="9">
        <v>1255</v>
      </c>
    </row>
    <row r="198" spans="1:3" x14ac:dyDescent="0.3">
      <c r="A198" t="s">
        <v>543</v>
      </c>
      <c r="B198" s="7">
        <v>1694</v>
      </c>
      <c r="C198" s="7">
        <v>374</v>
      </c>
    </row>
    <row r="199" spans="1:3" x14ac:dyDescent="0.3">
      <c r="A199" t="s">
        <v>408</v>
      </c>
      <c r="B199" s="7">
        <v>12</v>
      </c>
      <c r="C199" s="7">
        <v>78</v>
      </c>
    </row>
    <row r="200" spans="1:3" x14ac:dyDescent="0.3">
      <c r="A200" s="8" t="s">
        <v>197</v>
      </c>
      <c r="B200" s="9">
        <v>1706</v>
      </c>
      <c r="C200" s="9">
        <v>452</v>
      </c>
    </row>
    <row r="202" spans="1:3" x14ac:dyDescent="0.3">
      <c r="A202" s="2" t="s">
        <v>431</v>
      </c>
    </row>
    <row r="203" spans="1:3" x14ac:dyDescent="0.3">
      <c r="A203" s="2"/>
      <c r="B203" s="5" t="s">
        <v>558</v>
      </c>
      <c r="C203" s="5" t="s">
        <v>506</v>
      </c>
    </row>
    <row r="204" spans="1:3" x14ac:dyDescent="0.3">
      <c r="A204" t="s">
        <v>268</v>
      </c>
      <c r="B204" s="7">
        <v>1938</v>
      </c>
      <c r="C204" s="7">
        <v>1003</v>
      </c>
    </row>
    <row r="205" spans="1:3" x14ac:dyDescent="0.3">
      <c r="A205" t="s">
        <v>269</v>
      </c>
      <c r="B205" s="7">
        <v>7373</v>
      </c>
      <c r="C205" s="7">
        <v>10100</v>
      </c>
    </row>
    <row r="206" spans="1:3" x14ac:dyDescent="0.3">
      <c r="A206" s="8" t="s">
        <v>165</v>
      </c>
      <c r="B206" s="9">
        <v>9311</v>
      </c>
      <c r="C206" s="9">
        <v>11103</v>
      </c>
    </row>
    <row r="208" spans="1:3" x14ac:dyDescent="0.3">
      <c r="A208" s="2" t="s">
        <v>432</v>
      </c>
    </row>
    <row r="209" spans="1:3" x14ac:dyDescent="0.3">
      <c r="A209" s="2"/>
      <c r="B209" s="5" t="s">
        <v>558</v>
      </c>
      <c r="C209" s="5" t="s">
        <v>506</v>
      </c>
    </row>
    <row r="210" spans="1:3" x14ac:dyDescent="0.3">
      <c r="A210" t="s">
        <v>271</v>
      </c>
      <c r="B210" s="7">
        <v>71631</v>
      </c>
      <c r="C210" s="7">
        <v>70902</v>
      </c>
    </row>
    <row r="211" spans="1:3" x14ac:dyDescent="0.3">
      <c r="A211" t="s">
        <v>272</v>
      </c>
      <c r="B211" s="7">
        <v>253</v>
      </c>
      <c r="C211" s="7">
        <v>174</v>
      </c>
    </row>
    <row r="212" spans="1:3" x14ac:dyDescent="0.3">
      <c r="A212" t="s">
        <v>273</v>
      </c>
      <c r="B212" s="7">
        <v>424</v>
      </c>
      <c r="C212" s="7">
        <v>399</v>
      </c>
    </row>
    <row r="213" spans="1:3" x14ac:dyDescent="0.3">
      <c r="A213" s="8" t="s">
        <v>165</v>
      </c>
      <c r="B213" s="9">
        <v>72308</v>
      </c>
      <c r="C213" s="9">
        <v>71475</v>
      </c>
    </row>
    <row r="214" spans="1:3" x14ac:dyDescent="0.3">
      <c r="A214" s="4" t="s">
        <v>274</v>
      </c>
    </row>
    <row r="215" spans="1:3" x14ac:dyDescent="0.3">
      <c r="A215" t="s">
        <v>275</v>
      </c>
      <c r="B215" s="7">
        <v>28287</v>
      </c>
      <c r="C215" s="7">
        <v>28176</v>
      </c>
    </row>
    <row r="216" spans="1:3" x14ac:dyDescent="0.3">
      <c r="A216" t="s">
        <v>276</v>
      </c>
      <c r="B216" s="7">
        <v>8954</v>
      </c>
      <c r="C216" s="7">
        <v>7598</v>
      </c>
    </row>
    <row r="217" spans="1:3" x14ac:dyDescent="0.3">
      <c r="A217" t="s">
        <v>277</v>
      </c>
      <c r="B217" s="7">
        <v>18570</v>
      </c>
      <c r="C217" s="7">
        <v>19210</v>
      </c>
    </row>
    <row r="218" spans="1:3" x14ac:dyDescent="0.3">
      <c r="A218" t="s">
        <v>278</v>
      </c>
      <c r="B218" s="7">
        <v>7008</v>
      </c>
      <c r="C218" s="7">
        <v>6846</v>
      </c>
    </row>
    <row r="219" spans="1:3" x14ac:dyDescent="0.3">
      <c r="A219" t="s">
        <v>279</v>
      </c>
      <c r="B219" s="7">
        <v>4474</v>
      </c>
      <c r="C219" s="7">
        <v>4783</v>
      </c>
    </row>
    <row r="220" spans="1:3" x14ac:dyDescent="0.3">
      <c r="A220" t="s">
        <v>544</v>
      </c>
      <c r="B220" s="7">
        <v>2014</v>
      </c>
      <c r="C220" s="7">
        <v>1699</v>
      </c>
    </row>
    <row r="221" spans="1:3" x14ac:dyDescent="0.3">
      <c r="A221" t="s">
        <v>265</v>
      </c>
      <c r="B221" s="7">
        <v>2324</v>
      </c>
      <c r="C221" s="7">
        <v>2590</v>
      </c>
    </row>
    <row r="222" spans="1:3" x14ac:dyDescent="0.3">
      <c r="A222" s="8" t="s">
        <v>280</v>
      </c>
      <c r="B222" s="9">
        <v>71631</v>
      </c>
      <c r="C222" s="9">
        <v>70902</v>
      </c>
    </row>
    <row r="224" spans="1:3" x14ac:dyDescent="0.3">
      <c r="A224" s="2" t="s">
        <v>434</v>
      </c>
    </row>
    <row r="225" spans="1:3" x14ac:dyDescent="0.3">
      <c r="A225" s="2"/>
      <c r="B225" s="5" t="s">
        <v>558</v>
      </c>
      <c r="C225" s="5" t="s">
        <v>506</v>
      </c>
    </row>
    <row r="226" spans="1:3" x14ac:dyDescent="0.3">
      <c r="A226" t="s">
        <v>282</v>
      </c>
      <c r="B226" s="7">
        <v>4246</v>
      </c>
      <c r="C226" s="7">
        <v>3937</v>
      </c>
    </row>
    <row r="227" spans="1:3" x14ac:dyDescent="0.3">
      <c r="A227" t="s">
        <v>631</v>
      </c>
      <c r="B227" s="7">
        <v>39</v>
      </c>
      <c r="C227" s="7">
        <v>70</v>
      </c>
    </row>
    <row r="228" spans="1:3" x14ac:dyDescent="0.3">
      <c r="A228" t="s">
        <v>632</v>
      </c>
      <c r="B228" s="7">
        <v>2829</v>
      </c>
      <c r="C228" s="7">
        <v>2866</v>
      </c>
    </row>
    <row r="229" spans="1:3" x14ac:dyDescent="0.3">
      <c r="A229" t="s">
        <v>633</v>
      </c>
      <c r="B229" s="7">
        <v>0</v>
      </c>
      <c r="C229" s="7">
        <v>37</v>
      </c>
    </row>
    <row r="230" spans="1:3" x14ac:dyDescent="0.3">
      <c r="A230" t="s">
        <v>286</v>
      </c>
      <c r="B230" s="7">
        <v>98</v>
      </c>
      <c r="C230" s="7">
        <v>1</v>
      </c>
    </row>
    <row r="231" spans="1:3" x14ac:dyDescent="0.3">
      <c r="A231" t="s">
        <v>287</v>
      </c>
      <c r="B231" s="7">
        <v>0</v>
      </c>
      <c r="C231" s="7">
        <v>93</v>
      </c>
    </row>
    <row r="232" spans="1:3" x14ac:dyDescent="0.3">
      <c r="A232" t="s">
        <v>289</v>
      </c>
      <c r="B232" s="7">
        <v>1452</v>
      </c>
      <c r="C232" s="7">
        <v>1392</v>
      </c>
    </row>
    <row r="233" spans="1:3" x14ac:dyDescent="0.3">
      <c r="A233" t="s">
        <v>499</v>
      </c>
      <c r="B233" s="7">
        <v>250</v>
      </c>
      <c r="C233" s="7">
        <v>208</v>
      </c>
    </row>
    <row r="234" spans="1:3" x14ac:dyDescent="0.3">
      <c r="A234" t="s">
        <v>545</v>
      </c>
      <c r="B234" s="7">
        <v>69</v>
      </c>
      <c r="C234" s="7">
        <v>614</v>
      </c>
    </row>
    <row r="235" spans="1:3" x14ac:dyDescent="0.3">
      <c r="A235" t="s">
        <v>290</v>
      </c>
      <c r="B235" s="7">
        <v>208</v>
      </c>
      <c r="C235" s="7">
        <v>365</v>
      </c>
    </row>
    <row r="236" spans="1:3" x14ac:dyDescent="0.3">
      <c r="A236" s="8" t="s">
        <v>165</v>
      </c>
      <c r="B236" s="9">
        <v>9191</v>
      </c>
      <c r="C236" s="9">
        <v>9583</v>
      </c>
    </row>
    <row r="238" spans="1:3" x14ac:dyDescent="0.3">
      <c r="A238" s="2" t="s">
        <v>436</v>
      </c>
    </row>
    <row r="239" spans="1:3" x14ac:dyDescent="0.3">
      <c r="A239" s="2"/>
      <c r="B239" s="5" t="s">
        <v>558</v>
      </c>
      <c r="C239" s="5" t="s">
        <v>506</v>
      </c>
    </row>
    <row r="240" spans="1:3" x14ac:dyDescent="0.3">
      <c r="A240" t="s">
        <v>292</v>
      </c>
      <c r="B240" s="7">
        <v>2101</v>
      </c>
      <c r="C240" s="7">
        <v>3047</v>
      </c>
    </row>
    <row r="241" spans="1:3" x14ac:dyDescent="0.3">
      <c r="A241" t="s">
        <v>293</v>
      </c>
      <c r="B241" s="7">
        <v>40066</v>
      </c>
      <c r="C241" s="7">
        <v>37351</v>
      </c>
    </row>
    <row r="242" spans="1:3" x14ac:dyDescent="0.3">
      <c r="A242" t="s">
        <v>294</v>
      </c>
      <c r="B242" s="7">
        <v>2600</v>
      </c>
      <c r="C242" s="7">
        <v>2101</v>
      </c>
    </row>
    <row r="243" spans="1:3" x14ac:dyDescent="0.3">
      <c r="A243" s="8" t="s">
        <v>165</v>
      </c>
      <c r="B243" s="9">
        <v>39567</v>
      </c>
      <c r="C243" s="9">
        <v>38297</v>
      </c>
    </row>
    <row r="244" spans="1:3" x14ac:dyDescent="0.3">
      <c r="A244" s="4" t="s">
        <v>295</v>
      </c>
    </row>
    <row r="245" spans="1:3" x14ac:dyDescent="0.3">
      <c r="A245" t="s">
        <v>296</v>
      </c>
      <c r="B245" s="7">
        <v>8593</v>
      </c>
      <c r="C245" s="7">
        <v>7538</v>
      </c>
    </row>
    <row r="246" spans="1:3" x14ac:dyDescent="0.3">
      <c r="A246" t="s">
        <v>297</v>
      </c>
      <c r="B246" s="7">
        <v>3360</v>
      </c>
      <c r="C246" s="7">
        <v>3053</v>
      </c>
    </row>
    <row r="247" spans="1:3" x14ac:dyDescent="0.3">
      <c r="A247" t="s">
        <v>298</v>
      </c>
      <c r="B247" s="7">
        <v>2089</v>
      </c>
      <c r="C247" s="7">
        <v>1906</v>
      </c>
    </row>
    <row r="248" spans="1:3" x14ac:dyDescent="0.3">
      <c r="A248" t="s">
        <v>299</v>
      </c>
      <c r="B248" s="7">
        <v>545</v>
      </c>
      <c r="C248" s="7">
        <v>497</v>
      </c>
    </row>
    <row r="249" spans="1:3" x14ac:dyDescent="0.3">
      <c r="A249" t="s">
        <v>300</v>
      </c>
      <c r="B249" s="7">
        <v>3924</v>
      </c>
      <c r="C249" s="7">
        <v>3956</v>
      </c>
    </row>
    <row r="250" spans="1:3" x14ac:dyDescent="0.3">
      <c r="A250" t="s">
        <v>301</v>
      </c>
      <c r="B250" s="7">
        <v>773</v>
      </c>
      <c r="C250" s="7">
        <v>1036</v>
      </c>
    </row>
    <row r="251" spans="1:3" x14ac:dyDescent="0.3">
      <c r="A251" t="s">
        <v>302</v>
      </c>
      <c r="B251" s="7">
        <v>964</v>
      </c>
      <c r="C251" s="7">
        <v>1171</v>
      </c>
    </row>
    <row r="252" spans="1:3" x14ac:dyDescent="0.3">
      <c r="A252" t="s">
        <v>546</v>
      </c>
      <c r="B252" s="7">
        <v>1654</v>
      </c>
      <c r="C252" s="7">
        <v>1101</v>
      </c>
    </row>
    <row r="253" spans="1:3" x14ac:dyDescent="0.3">
      <c r="A253" t="s">
        <v>265</v>
      </c>
      <c r="B253" s="7">
        <v>17665</v>
      </c>
      <c r="C253" s="7">
        <v>18039</v>
      </c>
    </row>
    <row r="254" spans="1:3" x14ac:dyDescent="0.3">
      <c r="A254" s="8" t="s">
        <v>303</v>
      </c>
      <c r="B254" s="9">
        <v>39567</v>
      </c>
      <c r="C254" s="9">
        <v>38297</v>
      </c>
    </row>
    <row r="256" spans="1:3" x14ac:dyDescent="0.3">
      <c r="A256" s="2" t="s">
        <v>437</v>
      </c>
    </row>
    <row r="257" spans="1:3" x14ac:dyDescent="0.3">
      <c r="A257" s="2"/>
      <c r="B257" s="5" t="s">
        <v>558</v>
      </c>
      <c r="C257" s="5" t="s">
        <v>506</v>
      </c>
    </row>
    <row r="258" spans="1:3" x14ac:dyDescent="0.3">
      <c r="A258" t="s">
        <v>305</v>
      </c>
      <c r="B258" s="7">
        <v>1642</v>
      </c>
      <c r="C258" s="7">
        <v>2059</v>
      </c>
    </row>
    <row r="259" spans="1:3" x14ac:dyDescent="0.3">
      <c r="A259" t="s">
        <v>306</v>
      </c>
      <c r="B259" s="7">
        <v>877</v>
      </c>
      <c r="C259" s="7">
        <v>995</v>
      </c>
    </row>
    <row r="260" spans="1:3" x14ac:dyDescent="0.3">
      <c r="A260" t="s">
        <v>307</v>
      </c>
      <c r="B260" s="7">
        <v>1426</v>
      </c>
      <c r="C260" s="7">
        <v>1588</v>
      </c>
    </row>
    <row r="261" spans="1:3" x14ac:dyDescent="0.3">
      <c r="A261" s="8" t="s">
        <v>308</v>
      </c>
      <c r="B261" s="9">
        <v>3945</v>
      </c>
      <c r="C261" s="9">
        <v>4642</v>
      </c>
    </row>
    <row r="262" spans="1:3" x14ac:dyDescent="0.3">
      <c r="A262" t="s">
        <v>310</v>
      </c>
      <c r="B262" s="7">
        <v>1821</v>
      </c>
      <c r="C262" s="7">
        <v>1642</v>
      </c>
    </row>
    <row r="263" spans="1:3" x14ac:dyDescent="0.3">
      <c r="A263" t="s">
        <v>311</v>
      </c>
      <c r="B263" s="7">
        <v>750</v>
      </c>
      <c r="C263" s="7">
        <v>877</v>
      </c>
    </row>
    <row r="264" spans="1:3" x14ac:dyDescent="0.3">
      <c r="A264" t="s">
        <v>312</v>
      </c>
      <c r="B264" s="7">
        <v>1667</v>
      </c>
      <c r="C264" s="7">
        <v>1426</v>
      </c>
    </row>
    <row r="265" spans="1:3" x14ac:dyDescent="0.3">
      <c r="A265" s="8" t="s">
        <v>313</v>
      </c>
      <c r="B265" s="9">
        <v>4238</v>
      </c>
      <c r="C265" s="9">
        <v>3945</v>
      </c>
    </row>
    <row r="266" spans="1:3" x14ac:dyDescent="0.3">
      <c r="A266" s="8" t="s">
        <v>314</v>
      </c>
      <c r="B266" s="9">
        <v>-293</v>
      </c>
      <c r="C266" s="9">
        <v>697</v>
      </c>
    </row>
    <row r="268" spans="1:3" x14ac:dyDescent="0.3">
      <c r="A268" s="2" t="s">
        <v>500</v>
      </c>
    </row>
    <row r="269" spans="1:3" x14ac:dyDescent="0.3">
      <c r="A269" s="2"/>
      <c r="B269" s="5" t="s">
        <v>558</v>
      </c>
      <c r="C269" s="5" t="s">
        <v>506</v>
      </c>
    </row>
    <row r="270" spans="1:3" x14ac:dyDescent="0.3">
      <c r="A270" t="s">
        <v>316</v>
      </c>
      <c r="B270" s="7">
        <v>5917</v>
      </c>
      <c r="C270" s="7">
        <v>5792</v>
      </c>
    </row>
    <row r="271" spans="1:3" x14ac:dyDescent="0.3">
      <c r="A271" t="s">
        <v>317</v>
      </c>
      <c r="B271" s="7">
        <v>366</v>
      </c>
      <c r="C271" s="7">
        <v>304</v>
      </c>
    </row>
    <row r="272" spans="1:3" x14ac:dyDescent="0.3">
      <c r="A272" t="s">
        <v>318</v>
      </c>
      <c r="B272" s="7">
        <v>184</v>
      </c>
      <c r="C272" s="7">
        <v>168</v>
      </c>
    </row>
    <row r="273" spans="1:3" x14ac:dyDescent="0.3">
      <c r="A273" s="8" t="s">
        <v>165</v>
      </c>
      <c r="B273" s="9">
        <v>6467</v>
      </c>
      <c r="C273" s="9">
        <v>6264</v>
      </c>
    </row>
    <row r="275" spans="1:3" x14ac:dyDescent="0.3">
      <c r="A275" s="2" t="s">
        <v>439</v>
      </c>
    </row>
    <row r="276" spans="1:3" x14ac:dyDescent="0.3">
      <c r="A276" s="2"/>
      <c r="B276" s="5" t="s">
        <v>558</v>
      </c>
      <c r="C276" s="5" t="s">
        <v>506</v>
      </c>
    </row>
    <row r="277" spans="1:3" x14ac:dyDescent="0.3">
      <c r="A277" t="s">
        <v>320</v>
      </c>
      <c r="B277" s="7">
        <v>2153</v>
      </c>
      <c r="C277" s="7">
        <v>1255</v>
      </c>
    </row>
    <row r="278" spans="1:3" x14ac:dyDescent="0.3">
      <c r="A278" t="s">
        <v>547</v>
      </c>
      <c r="B278" s="7">
        <v>-22</v>
      </c>
      <c r="C278" s="7">
        <v>41</v>
      </c>
    </row>
    <row r="279" spans="1:3" x14ac:dyDescent="0.3">
      <c r="A279" t="s">
        <v>322</v>
      </c>
      <c r="B279" s="7">
        <v>16</v>
      </c>
      <c r="C279" s="7">
        <v>20</v>
      </c>
    </row>
    <row r="280" spans="1:3" x14ac:dyDescent="0.3">
      <c r="A280" t="s">
        <v>265</v>
      </c>
      <c r="B280" s="7">
        <v>76</v>
      </c>
      <c r="C280" s="7">
        <v>162</v>
      </c>
    </row>
    <row r="281" spans="1:3" x14ac:dyDescent="0.3">
      <c r="A281" s="8" t="s">
        <v>165</v>
      </c>
      <c r="B281" s="9">
        <v>2223</v>
      </c>
      <c r="C281" s="9">
        <v>1478</v>
      </c>
    </row>
    <row r="283" spans="1:3" x14ac:dyDescent="0.3">
      <c r="A283" s="2" t="s">
        <v>634</v>
      </c>
    </row>
    <row r="284" spans="1:3" x14ac:dyDescent="0.3">
      <c r="A284" s="2"/>
      <c r="B284" s="5" t="s">
        <v>558</v>
      </c>
      <c r="C284" s="5" t="s">
        <v>506</v>
      </c>
    </row>
    <row r="285" spans="1:3" x14ac:dyDescent="0.3">
      <c r="A285" t="s">
        <v>635</v>
      </c>
      <c r="B285" s="7">
        <v>1269</v>
      </c>
      <c r="C285" s="7">
        <v>1195</v>
      </c>
    </row>
    <row r="286" spans="1:3" x14ac:dyDescent="0.3">
      <c r="A286" t="s">
        <v>636</v>
      </c>
      <c r="B286" s="7">
        <v>42</v>
      </c>
      <c r="C286" s="7">
        <v>635</v>
      </c>
    </row>
    <row r="287" spans="1:3" x14ac:dyDescent="0.3">
      <c r="A287" s="8" t="s">
        <v>165</v>
      </c>
      <c r="B287" s="9">
        <v>1311</v>
      </c>
      <c r="C287" s="9">
        <v>1830</v>
      </c>
    </row>
    <row r="289" spans="1:3" x14ac:dyDescent="0.3">
      <c r="A289" s="2" t="s">
        <v>441</v>
      </c>
    </row>
    <row r="290" spans="1:3" x14ac:dyDescent="0.3">
      <c r="A290" s="2"/>
      <c r="B290" s="5" t="s">
        <v>558</v>
      </c>
      <c r="C290" s="5" t="s">
        <v>506</v>
      </c>
    </row>
    <row r="291" spans="1:3" x14ac:dyDescent="0.3">
      <c r="A291" t="s">
        <v>327</v>
      </c>
      <c r="B291" s="7">
        <v>641</v>
      </c>
      <c r="C291" s="7">
        <v>662</v>
      </c>
    </row>
    <row r="292" spans="1:3" x14ac:dyDescent="0.3">
      <c r="A292" t="s">
        <v>328</v>
      </c>
      <c r="B292" s="7">
        <v>1931</v>
      </c>
      <c r="C292" s="7">
        <v>1512</v>
      </c>
    </row>
    <row r="293" spans="1:3" x14ac:dyDescent="0.3">
      <c r="A293" t="s">
        <v>329</v>
      </c>
      <c r="B293" s="7">
        <v>902</v>
      </c>
      <c r="C293" s="7">
        <v>907</v>
      </c>
    </row>
    <row r="294" spans="1:3" x14ac:dyDescent="0.3">
      <c r="A294" t="s">
        <v>330</v>
      </c>
      <c r="B294" s="7">
        <v>185</v>
      </c>
      <c r="C294" s="7">
        <v>133</v>
      </c>
    </row>
    <row r="295" spans="1:3" x14ac:dyDescent="0.3">
      <c r="A295" t="s">
        <v>331</v>
      </c>
      <c r="B295" s="7">
        <v>100</v>
      </c>
      <c r="C295" s="7">
        <v>56</v>
      </c>
    </row>
    <row r="296" spans="1:3" x14ac:dyDescent="0.3">
      <c r="A296" t="s">
        <v>332</v>
      </c>
      <c r="B296" s="7">
        <v>121</v>
      </c>
      <c r="C296" s="7">
        <v>95</v>
      </c>
    </row>
    <row r="297" spans="1:3" x14ac:dyDescent="0.3">
      <c r="A297" t="s">
        <v>333</v>
      </c>
      <c r="B297" s="7">
        <v>15</v>
      </c>
      <c r="C297" s="7">
        <v>17</v>
      </c>
    </row>
    <row r="298" spans="1:3" x14ac:dyDescent="0.3">
      <c r="A298" t="s">
        <v>334</v>
      </c>
      <c r="B298" s="7">
        <v>584</v>
      </c>
      <c r="C298" s="7">
        <v>586</v>
      </c>
    </row>
    <row r="299" spans="1:3" x14ac:dyDescent="0.3">
      <c r="A299" t="s">
        <v>502</v>
      </c>
      <c r="B299" s="7">
        <v>178</v>
      </c>
      <c r="C299" s="7">
        <v>144</v>
      </c>
    </row>
    <row r="300" spans="1:3" x14ac:dyDescent="0.3">
      <c r="A300" t="s">
        <v>335</v>
      </c>
      <c r="B300" s="7">
        <v>4884</v>
      </c>
      <c r="C300" s="7">
        <v>5680</v>
      </c>
    </row>
    <row r="301" spans="1:3" x14ac:dyDescent="0.3">
      <c r="A301" t="s">
        <v>336</v>
      </c>
      <c r="B301" s="7">
        <v>620</v>
      </c>
      <c r="C301" s="7">
        <v>599</v>
      </c>
    </row>
    <row r="302" spans="1:3" x14ac:dyDescent="0.3">
      <c r="A302" t="s">
        <v>337</v>
      </c>
      <c r="B302" s="7">
        <v>41</v>
      </c>
      <c r="C302" s="7">
        <v>59</v>
      </c>
    </row>
    <row r="303" spans="1:3" x14ac:dyDescent="0.3">
      <c r="A303" t="s">
        <v>338</v>
      </c>
      <c r="B303" s="7">
        <v>4119</v>
      </c>
      <c r="C303" s="7">
        <v>3574</v>
      </c>
    </row>
    <row r="304" spans="1:3" x14ac:dyDescent="0.3">
      <c r="A304" t="s">
        <v>339</v>
      </c>
      <c r="B304" s="7">
        <v>1210</v>
      </c>
      <c r="C304" s="7">
        <v>513</v>
      </c>
    </row>
    <row r="305" spans="1:3" x14ac:dyDescent="0.3">
      <c r="A305" t="s">
        <v>637</v>
      </c>
      <c r="B305" s="7">
        <v>185</v>
      </c>
      <c r="C305" s="7">
        <v>165</v>
      </c>
    </row>
    <row r="306" spans="1:3" x14ac:dyDescent="0.3">
      <c r="A306" t="s">
        <v>340</v>
      </c>
      <c r="B306" s="7">
        <v>23</v>
      </c>
      <c r="C306" s="7">
        <v>18</v>
      </c>
    </row>
    <row r="307" spans="1:3" x14ac:dyDescent="0.3">
      <c r="A307" t="s">
        <v>551</v>
      </c>
      <c r="B307" s="7">
        <v>3</v>
      </c>
      <c r="C307" s="7">
        <v>2</v>
      </c>
    </row>
    <row r="308" spans="1:3" x14ac:dyDescent="0.3">
      <c r="A308" t="s">
        <v>287</v>
      </c>
      <c r="B308" s="7">
        <v>952</v>
      </c>
      <c r="C308" s="7">
        <v>0</v>
      </c>
    </row>
    <row r="309" spans="1:3" x14ac:dyDescent="0.3">
      <c r="A309" t="s">
        <v>638</v>
      </c>
      <c r="B309" s="7">
        <v>9</v>
      </c>
      <c r="C309" s="7">
        <v>0</v>
      </c>
    </row>
    <row r="310" spans="1:3" x14ac:dyDescent="0.3">
      <c r="A310" t="s">
        <v>341</v>
      </c>
      <c r="B310" s="7">
        <v>1081</v>
      </c>
      <c r="C310" s="7">
        <v>1233</v>
      </c>
    </row>
    <row r="311" spans="1:3" x14ac:dyDescent="0.3">
      <c r="A311" s="8" t="s">
        <v>165</v>
      </c>
      <c r="B311" s="9">
        <v>17784</v>
      </c>
      <c r="C311" s="9">
        <v>15955</v>
      </c>
    </row>
    <row r="313" spans="1:3" x14ac:dyDescent="0.3">
      <c r="A313" s="2" t="s">
        <v>639</v>
      </c>
    </row>
    <row r="314" spans="1:3" x14ac:dyDescent="0.3">
      <c r="A314" s="2"/>
      <c r="B314" s="5" t="s">
        <v>558</v>
      </c>
      <c r="C314" s="5" t="s">
        <v>506</v>
      </c>
    </row>
    <row r="315" spans="1:3" x14ac:dyDescent="0.3">
      <c r="A315" t="s">
        <v>107</v>
      </c>
      <c r="B315" s="7">
        <v>483659648</v>
      </c>
      <c r="C315" s="7">
        <v>483662163</v>
      </c>
    </row>
    <row r="316" spans="1:3" x14ac:dyDescent="0.3">
      <c r="A316" t="s">
        <v>343</v>
      </c>
      <c r="B316" s="7">
        <v>9776</v>
      </c>
      <c r="C316" s="7">
        <v>12632</v>
      </c>
    </row>
    <row r="317" spans="1:3" x14ac:dyDescent="0.3">
      <c r="A317" t="s">
        <v>344</v>
      </c>
      <c r="B317" s="7">
        <v>20.21</v>
      </c>
      <c r="C317" s="7">
        <v>26.12</v>
      </c>
    </row>
    <row r="319" spans="1:3" x14ac:dyDescent="0.3">
      <c r="A319" s="2" t="s">
        <v>444</v>
      </c>
    </row>
    <row r="320" spans="1:3" x14ac:dyDescent="0.3">
      <c r="A320" s="2"/>
      <c r="B320" s="5" t="s">
        <v>558</v>
      </c>
      <c r="C320" s="5" t="s">
        <v>506</v>
      </c>
    </row>
    <row r="321" spans="1:3" x14ac:dyDescent="0.3">
      <c r="A321" t="s">
        <v>346</v>
      </c>
      <c r="B321" s="7">
        <v>303</v>
      </c>
      <c r="C321" s="7">
        <v>271</v>
      </c>
    </row>
    <row r="323" spans="1:3" x14ac:dyDescent="0.3">
      <c r="A323" s="2" t="s">
        <v>445</v>
      </c>
    </row>
    <row r="324" spans="1:3" x14ac:dyDescent="0.3">
      <c r="A324" s="2"/>
      <c r="B324" s="5" t="s">
        <v>558</v>
      </c>
      <c r="C324" s="5" t="s">
        <v>506</v>
      </c>
    </row>
    <row r="325" spans="1:3" x14ac:dyDescent="0.3">
      <c r="A325" t="s">
        <v>503</v>
      </c>
      <c r="B325" s="7">
        <v>4792</v>
      </c>
      <c r="C325" s="7">
        <v>2492</v>
      </c>
    </row>
    <row r="326" spans="1:3" x14ac:dyDescent="0.3">
      <c r="A326" t="s">
        <v>640</v>
      </c>
      <c r="B326" s="7">
        <v>762</v>
      </c>
      <c r="C326" s="7">
        <v>83</v>
      </c>
    </row>
    <row r="327" spans="1:3" x14ac:dyDescent="0.3">
      <c r="A327" t="s">
        <v>350</v>
      </c>
      <c r="B327" s="7">
        <v>6628</v>
      </c>
      <c r="C327" s="7">
        <v>4336</v>
      </c>
    </row>
    <row r="329" spans="1:3" x14ac:dyDescent="0.3">
      <c r="A329" s="2" t="s">
        <v>447</v>
      </c>
    </row>
    <row r="330" spans="1:3" x14ac:dyDescent="0.3">
      <c r="A330" s="2"/>
      <c r="B330" s="5" t="s">
        <v>558</v>
      </c>
      <c r="C330" s="5" t="s">
        <v>506</v>
      </c>
    </row>
    <row r="331" spans="1:3" x14ac:dyDescent="0.3">
      <c r="A331" t="s">
        <v>641</v>
      </c>
      <c r="B331" s="7">
        <v>3157</v>
      </c>
      <c r="C331" s="7">
        <v>2766</v>
      </c>
    </row>
    <row r="332" spans="1:3" x14ac:dyDescent="0.3">
      <c r="A332" t="s">
        <v>642</v>
      </c>
      <c r="B332" s="7">
        <v>73</v>
      </c>
      <c r="C332" s="7">
        <v>609</v>
      </c>
    </row>
    <row r="333" spans="1:3" x14ac:dyDescent="0.3">
      <c r="A333" s="8" t="s">
        <v>358</v>
      </c>
      <c r="B333" s="9">
        <v>3230</v>
      </c>
      <c r="C333" s="9">
        <v>3375</v>
      </c>
    </row>
    <row r="334" spans="1:3" x14ac:dyDescent="0.3">
      <c r="A334" t="s">
        <v>359</v>
      </c>
      <c r="B334" s="7">
        <v>13006</v>
      </c>
      <c r="C334" s="7">
        <v>16007</v>
      </c>
    </row>
    <row r="335" spans="1:3" x14ac:dyDescent="0.3">
      <c r="A335" t="s">
        <v>643</v>
      </c>
      <c r="B335" s="7">
        <v>3273</v>
      </c>
      <c r="C335" s="7">
        <v>4029</v>
      </c>
    </row>
    <row r="336" spans="1:3" x14ac:dyDescent="0.3">
      <c r="A336" t="s">
        <v>552</v>
      </c>
      <c r="B336" s="7">
        <v>-471</v>
      </c>
      <c r="C336" s="7">
        <v>-456</v>
      </c>
    </row>
    <row r="337" spans="1:3" x14ac:dyDescent="0.3">
      <c r="A337" t="s">
        <v>553</v>
      </c>
      <c r="B337" s="7">
        <v>-164</v>
      </c>
      <c r="C337" s="7">
        <v>-303</v>
      </c>
    </row>
    <row r="338" spans="1:3" x14ac:dyDescent="0.3">
      <c r="A338" t="s">
        <v>554</v>
      </c>
      <c r="B338" s="7">
        <v>643</v>
      </c>
      <c r="C338" s="7">
        <v>121</v>
      </c>
    </row>
    <row r="339" spans="1:3" x14ac:dyDescent="0.3">
      <c r="A339" t="s">
        <v>555</v>
      </c>
      <c r="B339" s="7">
        <v>-52</v>
      </c>
      <c r="C339" s="7">
        <v>-16</v>
      </c>
    </row>
    <row r="340" spans="1:3" x14ac:dyDescent="0.3">
      <c r="A340" t="s">
        <v>365</v>
      </c>
      <c r="B340" s="7">
        <v>25</v>
      </c>
      <c r="C340" s="7">
        <v>21</v>
      </c>
    </row>
    <row r="342" spans="1:3" x14ac:dyDescent="0.3">
      <c r="A342" s="2" t="s">
        <v>556</v>
      </c>
    </row>
    <row r="343" spans="1:3" x14ac:dyDescent="0.3">
      <c r="A343" s="2"/>
      <c r="B343" s="5" t="s">
        <v>558</v>
      </c>
      <c r="C343" s="5" t="s">
        <v>506</v>
      </c>
    </row>
    <row r="344" spans="1:3" x14ac:dyDescent="0.3">
      <c r="A344" t="s">
        <v>370</v>
      </c>
      <c r="B344" s="7">
        <v>1938</v>
      </c>
      <c r="C344" s="7">
        <v>1003</v>
      </c>
    </row>
    <row r="345" spans="1:3" x14ac:dyDescent="0.3">
      <c r="A345" t="s">
        <v>371</v>
      </c>
      <c r="B345" s="7">
        <v>0</v>
      </c>
      <c r="C345" s="7">
        <v>0</v>
      </c>
    </row>
    <row r="346" spans="1:3" x14ac:dyDescent="0.3">
      <c r="A346" t="s">
        <v>372</v>
      </c>
      <c r="B346" s="7">
        <v>0</v>
      </c>
      <c r="C346" s="7">
        <v>0</v>
      </c>
    </row>
    <row r="347" spans="1:3" x14ac:dyDescent="0.3">
      <c r="A347" t="s">
        <v>373</v>
      </c>
      <c r="B347" s="7">
        <v>25</v>
      </c>
      <c r="C347" s="7">
        <v>20</v>
      </c>
    </row>
    <row r="348" spans="1:3" x14ac:dyDescent="0.3">
      <c r="A348" t="s">
        <v>374</v>
      </c>
      <c r="B348" s="7">
        <v>0</v>
      </c>
      <c r="C348" s="7">
        <v>0</v>
      </c>
    </row>
    <row r="350" spans="1:3" x14ac:dyDescent="0.3">
      <c r="A350" s="2" t="s">
        <v>450</v>
      </c>
    </row>
    <row r="351" spans="1:3" x14ac:dyDescent="0.3">
      <c r="A351" s="2"/>
      <c r="B351" s="5" t="s">
        <v>558</v>
      </c>
      <c r="C351" s="5" t="s">
        <v>506</v>
      </c>
    </row>
    <row r="352" spans="1:3" x14ac:dyDescent="0.3">
      <c r="A352" t="s">
        <v>451</v>
      </c>
      <c r="B352" s="7">
        <v>184</v>
      </c>
      <c r="C352" s="7">
        <v>165</v>
      </c>
    </row>
    <row r="353" spans="1:3" x14ac:dyDescent="0.3">
      <c r="A353" t="s">
        <v>452</v>
      </c>
      <c r="B353" s="7">
        <v>0</v>
      </c>
      <c r="C353" s="7">
        <v>0</v>
      </c>
    </row>
    <row r="354" spans="1:3" x14ac:dyDescent="0.3">
      <c r="A354" t="s">
        <v>453</v>
      </c>
      <c r="B354" s="7">
        <v>186</v>
      </c>
      <c r="C354" s="7">
        <v>89</v>
      </c>
    </row>
    <row r="355" spans="1:3" x14ac:dyDescent="0.3">
      <c r="A355" t="s">
        <v>644</v>
      </c>
      <c r="B355" s="7">
        <v>2</v>
      </c>
      <c r="C355" s="7">
        <v>-76</v>
      </c>
    </row>
    <row r="356" spans="1:3" x14ac:dyDescent="0.3">
      <c r="A356" t="s">
        <v>645</v>
      </c>
      <c r="B356" s="7">
        <v>76</v>
      </c>
      <c r="C356" s="7">
        <v>131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58"/>
  <sheetViews>
    <sheetView zoomScale="150" workbookViewId="0">
      <pane ySplit="4" topLeftCell="A45" activePane="bottomLeft" state="frozen"/>
      <selection pane="bottomLeft" activeCell="A6" sqref="A6:C58"/>
    </sheetView>
  </sheetViews>
  <sheetFormatPr defaultRowHeight="14.4" x14ac:dyDescent="0.3"/>
  <cols>
    <col min="1" max="1" width="58" customWidth="1"/>
    <col min="2" max="3" width="18" customWidth="1"/>
    <col min="4" max="4" width="4" customWidth="1"/>
  </cols>
  <sheetData>
    <row r="1" spans="1:6" ht="17.399999999999999" x14ac:dyDescent="0.35">
      <c r="A1" s="1" t="s">
        <v>30</v>
      </c>
    </row>
    <row r="2" spans="1:6" x14ac:dyDescent="0.3">
      <c r="A2" s="2" t="s">
        <v>31</v>
      </c>
    </row>
    <row r="3" spans="1:6" x14ac:dyDescent="0.3">
      <c r="A3" s="3" t="s">
        <v>557</v>
      </c>
    </row>
    <row r="4" spans="1:6" x14ac:dyDescent="0.3">
      <c r="A4" s="4" t="s">
        <v>33</v>
      </c>
    </row>
    <row r="6" spans="1:6" x14ac:dyDescent="0.3">
      <c r="A6" s="2" t="s">
        <v>34</v>
      </c>
      <c r="B6" s="5" t="s">
        <v>558</v>
      </c>
      <c r="C6" s="5" t="s">
        <v>506</v>
      </c>
    </row>
    <row r="7" spans="1:6" x14ac:dyDescent="0.3">
      <c r="A7" s="6" t="s">
        <v>37</v>
      </c>
    </row>
    <row r="8" spans="1:6" x14ac:dyDescent="0.3">
      <c r="A8" s="6" t="s">
        <v>38</v>
      </c>
    </row>
    <row r="9" spans="1:6" x14ac:dyDescent="0.3">
      <c r="A9" t="s">
        <v>39</v>
      </c>
      <c r="B9" s="7">
        <v>9605</v>
      </c>
      <c r="C9" s="7">
        <v>9724</v>
      </c>
      <c r="E9" s="7">
        <f>B9</f>
        <v>9605</v>
      </c>
      <c r="F9" s="7"/>
    </row>
    <row r="10" spans="1:6" x14ac:dyDescent="0.3">
      <c r="A10" t="s">
        <v>40</v>
      </c>
      <c r="B10" s="7">
        <v>156</v>
      </c>
      <c r="C10" s="7">
        <v>141</v>
      </c>
      <c r="E10" s="7">
        <f>SUM(B10:B11)</f>
        <v>189</v>
      </c>
      <c r="F10" s="7"/>
    </row>
    <row r="11" spans="1:6" x14ac:dyDescent="0.3">
      <c r="A11" t="s">
        <v>507</v>
      </c>
      <c r="B11" s="7">
        <v>33</v>
      </c>
      <c r="C11" s="7">
        <v>140</v>
      </c>
      <c r="E11" s="7">
        <f>B15</f>
        <v>58943</v>
      </c>
      <c r="F11" s="7"/>
    </row>
    <row r="12" spans="1:6" x14ac:dyDescent="0.3">
      <c r="A12" t="s">
        <v>41</v>
      </c>
      <c r="B12" s="7">
        <v>846</v>
      </c>
      <c r="C12" s="7">
        <v>810</v>
      </c>
      <c r="E12" s="7">
        <f>SUM(B12:B14,B16:B21)</f>
        <v>25292</v>
      </c>
      <c r="F12" s="7"/>
    </row>
    <row r="13" spans="1:6" x14ac:dyDescent="0.3">
      <c r="A13" t="s">
        <v>42</v>
      </c>
      <c r="B13" s="7">
        <v>1268</v>
      </c>
      <c r="C13" s="7">
        <v>1268</v>
      </c>
    </row>
    <row r="14" spans="1:6" x14ac:dyDescent="0.3">
      <c r="A14" t="s">
        <v>43</v>
      </c>
      <c r="B14" s="7">
        <v>4426</v>
      </c>
      <c r="C14" s="7">
        <v>3983</v>
      </c>
    </row>
    <row r="15" spans="1:6" x14ac:dyDescent="0.3">
      <c r="A15" t="s">
        <v>44</v>
      </c>
      <c r="B15" s="7">
        <v>58943</v>
      </c>
      <c r="C15" s="7">
        <v>33176</v>
      </c>
    </row>
    <row r="16" spans="1:6" x14ac:dyDescent="0.3">
      <c r="A16" t="s">
        <v>51</v>
      </c>
      <c r="B16" s="7">
        <v>0</v>
      </c>
      <c r="C16" s="7">
        <v>45</v>
      </c>
    </row>
    <row r="17" spans="1:3" x14ac:dyDescent="0.3">
      <c r="A17" t="s">
        <v>52</v>
      </c>
      <c r="B17" s="7">
        <v>7</v>
      </c>
      <c r="C17" s="7">
        <v>0</v>
      </c>
    </row>
    <row r="18" spans="1:3" x14ac:dyDescent="0.3">
      <c r="A18" t="s">
        <v>45</v>
      </c>
      <c r="B18" s="7">
        <v>16522</v>
      </c>
      <c r="C18" s="7">
        <v>18265</v>
      </c>
    </row>
    <row r="19" spans="1:3" x14ac:dyDescent="0.3">
      <c r="A19" t="s">
        <v>46</v>
      </c>
      <c r="B19" s="7">
        <v>144</v>
      </c>
      <c r="C19" s="7">
        <v>106</v>
      </c>
    </row>
    <row r="20" spans="1:3" x14ac:dyDescent="0.3">
      <c r="A20" t="s">
        <v>458</v>
      </c>
      <c r="B20" s="7">
        <v>762</v>
      </c>
      <c r="C20" s="7">
        <v>788</v>
      </c>
    </row>
    <row r="21" spans="1:3" x14ac:dyDescent="0.3">
      <c r="A21" t="s">
        <v>55</v>
      </c>
      <c r="B21" s="7">
        <v>1317</v>
      </c>
      <c r="C21" s="7">
        <v>1140</v>
      </c>
    </row>
    <row r="22" spans="1:3" x14ac:dyDescent="0.3">
      <c r="A22" s="8" t="s">
        <v>48</v>
      </c>
      <c r="B22" s="9">
        <v>94029</v>
      </c>
      <c r="C22" s="9">
        <v>69586</v>
      </c>
    </row>
    <row r="23" spans="1:3" x14ac:dyDescent="0.3">
      <c r="A23" s="6" t="s">
        <v>49</v>
      </c>
    </row>
    <row r="24" spans="1:3" x14ac:dyDescent="0.3">
      <c r="A24" t="s">
        <v>50</v>
      </c>
      <c r="B24" s="7">
        <v>7119</v>
      </c>
      <c r="C24" s="7">
        <v>6402</v>
      </c>
    </row>
    <row r="25" spans="1:3" x14ac:dyDescent="0.3">
      <c r="A25" t="s">
        <v>44</v>
      </c>
      <c r="B25" s="7">
        <v>70625</v>
      </c>
      <c r="C25" s="7">
        <v>73332</v>
      </c>
    </row>
    <row r="26" spans="1:3" x14ac:dyDescent="0.3">
      <c r="A26" t="s">
        <v>51</v>
      </c>
      <c r="B26" s="7">
        <v>5932</v>
      </c>
      <c r="C26" s="7">
        <v>7345</v>
      </c>
    </row>
    <row r="27" spans="1:3" x14ac:dyDescent="0.3">
      <c r="A27" t="s">
        <v>52</v>
      </c>
      <c r="B27" s="7">
        <v>10</v>
      </c>
      <c r="C27" s="7">
        <v>5</v>
      </c>
    </row>
    <row r="28" spans="1:3" x14ac:dyDescent="0.3">
      <c r="A28" t="s">
        <v>53</v>
      </c>
      <c r="B28" s="7">
        <v>3278</v>
      </c>
      <c r="C28" s="7">
        <v>3309</v>
      </c>
    </row>
    <row r="29" spans="1:3" x14ac:dyDescent="0.3">
      <c r="A29" t="s">
        <v>45</v>
      </c>
      <c r="B29" s="7">
        <v>5749</v>
      </c>
      <c r="C29" s="7">
        <v>2727</v>
      </c>
    </row>
    <row r="30" spans="1:3" x14ac:dyDescent="0.3">
      <c r="A30" t="s">
        <v>46</v>
      </c>
      <c r="B30" s="7">
        <v>1213</v>
      </c>
      <c r="C30" s="7">
        <v>1319</v>
      </c>
    </row>
    <row r="31" spans="1:3" x14ac:dyDescent="0.3">
      <c r="A31" t="s">
        <v>55</v>
      </c>
      <c r="B31" s="7">
        <v>1678</v>
      </c>
      <c r="C31" s="7">
        <v>2063</v>
      </c>
    </row>
    <row r="32" spans="1:3" x14ac:dyDescent="0.3">
      <c r="A32" t="s">
        <v>459</v>
      </c>
      <c r="B32" s="7">
        <v>8</v>
      </c>
      <c r="C32" s="7">
        <v>53</v>
      </c>
    </row>
    <row r="33" spans="1:3" x14ac:dyDescent="0.3">
      <c r="A33" s="8" t="s">
        <v>56</v>
      </c>
      <c r="B33" s="9">
        <v>95612</v>
      </c>
      <c r="C33" s="9">
        <v>96555</v>
      </c>
    </row>
    <row r="34" spans="1:3" x14ac:dyDescent="0.3">
      <c r="A34" s="10" t="s">
        <v>57</v>
      </c>
      <c r="B34" s="11">
        <v>189641</v>
      </c>
      <c r="C34" s="11">
        <v>166141</v>
      </c>
    </row>
    <row r="35" spans="1:3" x14ac:dyDescent="0.3">
      <c r="A35" s="6" t="s">
        <v>58</v>
      </c>
    </row>
    <row r="36" spans="1:3" x14ac:dyDescent="0.3">
      <c r="A36" s="6" t="s">
        <v>59</v>
      </c>
    </row>
    <row r="37" spans="1:3" x14ac:dyDescent="0.3">
      <c r="A37" t="s">
        <v>60</v>
      </c>
      <c r="B37" s="7">
        <v>4837</v>
      </c>
      <c r="C37" s="7">
        <v>4837</v>
      </c>
    </row>
    <row r="38" spans="1:3" x14ac:dyDescent="0.3">
      <c r="A38" t="s">
        <v>61</v>
      </c>
      <c r="B38" s="7">
        <v>128849</v>
      </c>
      <c r="C38" s="7">
        <v>119159</v>
      </c>
    </row>
    <row r="39" spans="1:3" x14ac:dyDescent="0.3">
      <c r="A39" s="8" t="s">
        <v>62</v>
      </c>
      <c r="B39" s="9">
        <v>133686</v>
      </c>
      <c r="C39" s="9">
        <v>123996</v>
      </c>
    </row>
    <row r="40" spans="1:3" x14ac:dyDescent="0.3">
      <c r="A40" s="6" t="s">
        <v>63</v>
      </c>
    </row>
    <row r="41" spans="1:3" x14ac:dyDescent="0.3">
      <c r="A41" t="s">
        <v>64</v>
      </c>
      <c r="B41" s="7">
        <v>21551</v>
      </c>
      <c r="C41" s="7">
        <v>11967</v>
      </c>
    </row>
    <row r="42" spans="1:3" x14ac:dyDescent="0.3">
      <c r="A42" t="s">
        <v>65</v>
      </c>
      <c r="B42" s="7">
        <v>109</v>
      </c>
      <c r="C42" s="7">
        <v>79</v>
      </c>
    </row>
    <row r="43" spans="1:3" x14ac:dyDescent="0.3">
      <c r="A43" t="s">
        <v>460</v>
      </c>
      <c r="B43" s="7">
        <v>0</v>
      </c>
      <c r="C43" s="7">
        <v>1255</v>
      </c>
    </row>
    <row r="44" spans="1:3" x14ac:dyDescent="0.3">
      <c r="A44" t="s">
        <v>67</v>
      </c>
      <c r="B44" s="7">
        <v>155</v>
      </c>
      <c r="C44" s="7">
        <v>320</v>
      </c>
    </row>
    <row r="45" spans="1:3" x14ac:dyDescent="0.3">
      <c r="A45" t="s">
        <v>68</v>
      </c>
      <c r="B45" s="7">
        <v>1667</v>
      </c>
      <c r="C45" s="7">
        <v>1620</v>
      </c>
    </row>
    <row r="46" spans="1:3" x14ac:dyDescent="0.3">
      <c r="A46" s="8" t="s">
        <v>69</v>
      </c>
      <c r="B46" s="9">
        <v>23482</v>
      </c>
      <c r="C46" s="9">
        <v>15241</v>
      </c>
    </row>
    <row r="47" spans="1:3" x14ac:dyDescent="0.3">
      <c r="A47" s="6" t="s">
        <v>70</v>
      </c>
    </row>
    <row r="48" spans="1:3" x14ac:dyDescent="0.3">
      <c r="A48" t="s">
        <v>64</v>
      </c>
      <c r="B48" s="7">
        <v>16419</v>
      </c>
      <c r="C48" s="7">
        <v>11032</v>
      </c>
    </row>
    <row r="49" spans="1:3" x14ac:dyDescent="0.3">
      <c r="A49" t="s">
        <v>65</v>
      </c>
      <c r="B49" s="7">
        <v>15</v>
      </c>
      <c r="C49" s="7">
        <v>27</v>
      </c>
    </row>
    <row r="50" spans="1:3" x14ac:dyDescent="0.3">
      <c r="A50" t="s">
        <v>71</v>
      </c>
      <c r="B50" s="7">
        <v>1706</v>
      </c>
      <c r="C50" s="7">
        <v>452</v>
      </c>
    </row>
    <row r="51" spans="1:3" x14ac:dyDescent="0.3">
      <c r="A51" t="s">
        <v>72</v>
      </c>
      <c r="B51" s="7">
        <v>1938</v>
      </c>
      <c r="C51" s="7">
        <v>1003</v>
      </c>
    </row>
    <row r="52" spans="1:3" x14ac:dyDescent="0.3">
      <c r="A52" t="s">
        <v>73</v>
      </c>
      <c r="B52" s="7">
        <v>7373</v>
      </c>
      <c r="C52" s="7">
        <v>10100</v>
      </c>
    </row>
    <row r="53" spans="1:3" x14ac:dyDescent="0.3">
      <c r="A53" t="s">
        <v>66</v>
      </c>
      <c r="B53" s="7">
        <v>2163</v>
      </c>
      <c r="C53" s="7">
        <v>2164</v>
      </c>
    </row>
    <row r="54" spans="1:3" x14ac:dyDescent="0.3">
      <c r="A54" t="s">
        <v>378</v>
      </c>
      <c r="B54" s="7">
        <v>1400</v>
      </c>
      <c r="C54" s="7">
        <v>855</v>
      </c>
    </row>
    <row r="55" spans="1:3" x14ac:dyDescent="0.3">
      <c r="A55" t="s">
        <v>67</v>
      </c>
      <c r="B55" s="7">
        <v>208</v>
      </c>
      <c r="C55" s="7">
        <v>163</v>
      </c>
    </row>
    <row r="56" spans="1:3" x14ac:dyDescent="0.3">
      <c r="A56" t="s">
        <v>76</v>
      </c>
      <c r="B56" s="7">
        <v>1251</v>
      </c>
      <c r="C56" s="7">
        <v>1108</v>
      </c>
    </row>
    <row r="57" spans="1:3" x14ac:dyDescent="0.3">
      <c r="A57" s="8" t="s">
        <v>77</v>
      </c>
      <c r="B57" s="9">
        <v>32473</v>
      </c>
      <c r="C57" s="9">
        <v>26904</v>
      </c>
    </row>
    <row r="58" spans="1:3" x14ac:dyDescent="0.3">
      <c r="A58" s="10" t="s">
        <v>78</v>
      </c>
      <c r="B58" s="11">
        <v>189641</v>
      </c>
      <c r="C58" s="11">
        <v>166141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3EB1D-FBE1-414D-A340-83F326F393A5}">
  <dimension ref="B2:G55"/>
  <sheetViews>
    <sheetView workbookViewId="0">
      <selection activeCell="E30" sqref="E30"/>
    </sheetView>
  </sheetViews>
  <sheetFormatPr defaultRowHeight="14.4" x14ac:dyDescent="0.3"/>
  <cols>
    <col min="1" max="1" width="1.88671875" customWidth="1"/>
    <col min="2" max="2" width="44.44140625" bestFit="1" customWidth="1"/>
    <col min="3" max="3" width="7" bestFit="1" customWidth="1"/>
    <col min="5" max="5" width="44.44140625" bestFit="1" customWidth="1"/>
    <col min="6" max="7" width="7.5546875" bestFit="1" customWidth="1"/>
  </cols>
  <sheetData>
    <row r="2" spans="2:7" x14ac:dyDescent="0.3">
      <c r="B2" s="2" t="s">
        <v>34</v>
      </c>
      <c r="C2" s="5">
        <f>2020+4</f>
        <v>2024</v>
      </c>
      <c r="D2" s="5">
        <f>2020+5</f>
        <v>2025</v>
      </c>
      <c r="E2" s="2" t="s">
        <v>34</v>
      </c>
      <c r="F2" s="5" t="s">
        <v>457</v>
      </c>
      <c r="G2" s="5" t="s">
        <v>376</v>
      </c>
    </row>
    <row r="3" spans="2:7" x14ac:dyDescent="0.3">
      <c r="B3" s="6" t="s">
        <v>37</v>
      </c>
      <c r="E3" s="6" t="s">
        <v>37</v>
      </c>
    </row>
    <row r="4" spans="2:7" x14ac:dyDescent="0.3">
      <c r="B4" s="6" t="s">
        <v>38</v>
      </c>
      <c r="E4" s="6" t="s">
        <v>38</v>
      </c>
    </row>
    <row r="5" spans="2:7" x14ac:dyDescent="0.3">
      <c r="B5" t="s">
        <v>39</v>
      </c>
      <c r="C5">
        <f>IFERROR(INDEX('BS 2024-25'!C9:C58,MATCH(B5,'BS 2024-25'!A9:A58,0)),0)</f>
        <v>9724</v>
      </c>
      <c r="E5" t="s">
        <v>39</v>
      </c>
      <c r="F5" s="7"/>
      <c r="G5" s="7"/>
    </row>
    <row r="6" spans="2:7" x14ac:dyDescent="0.3">
      <c r="B6" t="s">
        <v>40</v>
      </c>
      <c r="C6">
        <f>IFERROR(INDEX('BS 2024-25'!C10:C59,MATCH(B6,'BS 2024-25'!A10:A59,0)),0)</f>
        <v>141</v>
      </c>
      <c r="E6" t="s">
        <v>40</v>
      </c>
      <c r="F6" s="7"/>
      <c r="G6" s="7"/>
    </row>
    <row r="7" spans="2:7" x14ac:dyDescent="0.3">
      <c r="B7" t="s">
        <v>507</v>
      </c>
      <c r="C7">
        <f>IFERROR(INDEX('BS 2024-25'!C11:C60,MATCH(B7,'BS 2024-25'!A11:A60,0)),0)</f>
        <v>140</v>
      </c>
      <c r="E7" t="s">
        <v>41</v>
      </c>
      <c r="F7" s="7"/>
      <c r="G7" s="7"/>
    </row>
    <row r="8" spans="2:7" x14ac:dyDescent="0.3">
      <c r="B8" t="s">
        <v>41</v>
      </c>
      <c r="C8">
        <f>IFERROR(INDEX('BS 2024-25'!C12:C61,MATCH(B8,'BS 2024-25'!A12:A61,0)),0)</f>
        <v>810</v>
      </c>
      <c r="E8" t="s">
        <v>42</v>
      </c>
      <c r="F8" s="7"/>
      <c r="G8" s="7"/>
    </row>
    <row r="9" spans="2:7" x14ac:dyDescent="0.3">
      <c r="B9" t="s">
        <v>42</v>
      </c>
      <c r="C9">
        <f>IFERROR(INDEX('BS 2024-25'!C13:C62,MATCH(B9,'BS 2024-25'!A13:A62,0)),0)</f>
        <v>1268</v>
      </c>
      <c r="E9" t="s">
        <v>43</v>
      </c>
      <c r="F9" s="7"/>
      <c r="G9" s="7"/>
    </row>
    <row r="10" spans="2:7" x14ac:dyDescent="0.3">
      <c r="B10" t="s">
        <v>43</v>
      </c>
      <c r="C10">
        <f>IFERROR(INDEX('BS 2024-25'!C14:C63,MATCH(B10,'BS 2024-25'!A14:A63,0)),0)</f>
        <v>3983</v>
      </c>
      <c r="E10" t="s">
        <v>44</v>
      </c>
      <c r="F10" s="7"/>
      <c r="G10" s="7"/>
    </row>
    <row r="11" spans="2:7" x14ac:dyDescent="0.3">
      <c r="B11" t="s">
        <v>44</v>
      </c>
      <c r="C11">
        <f>IFERROR(INDEX('BS 2024-25'!C15:C64,MATCH(B11,'BS 2024-25'!A15:A64,0)),0)</f>
        <v>33176</v>
      </c>
      <c r="E11" t="s">
        <v>51</v>
      </c>
      <c r="F11" s="7"/>
      <c r="G11" s="7"/>
    </row>
    <row r="12" spans="2:7" x14ac:dyDescent="0.3">
      <c r="B12" t="s">
        <v>51</v>
      </c>
      <c r="C12">
        <f>IFERROR(INDEX('BS 2024-25'!C16:C65,MATCH(B12,'BS 2024-25'!A16:A65,0)),0)</f>
        <v>45</v>
      </c>
      <c r="E12" t="s">
        <v>52</v>
      </c>
      <c r="F12" s="7"/>
      <c r="G12" s="7"/>
    </row>
    <row r="13" spans="2:7" x14ac:dyDescent="0.3">
      <c r="B13" t="s">
        <v>52</v>
      </c>
      <c r="C13">
        <f>IFERROR(INDEX('BS 2024-25'!C17:C66,MATCH(B13,'BS 2024-25'!A17:A66,0)),0)</f>
        <v>0</v>
      </c>
      <c r="E13" t="s">
        <v>45</v>
      </c>
      <c r="F13" s="7"/>
      <c r="G13" s="7"/>
    </row>
    <row r="14" spans="2:7" x14ac:dyDescent="0.3">
      <c r="B14" t="s">
        <v>45</v>
      </c>
      <c r="C14">
        <f>IFERROR(INDEX('BS 2024-25'!C18:C67,MATCH(B14,'BS 2024-25'!A18:A67,0)),0)</f>
        <v>18265</v>
      </c>
      <c r="E14" t="s">
        <v>46</v>
      </c>
      <c r="F14" s="7"/>
      <c r="G14" s="7"/>
    </row>
    <row r="15" spans="2:7" x14ac:dyDescent="0.3">
      <c r="B15" t="s">
        <v>46</v>
      </c>
      <c r="C15">
        <f>IFERROR(INDEX('BS 2024-25'!C19:C68,MATCH(B15,'BS 2024-25'!A19:A68,0)),0)</f>
        <v>106</v>
      </c>
      <c r="E15" t="s">
        <v>458</v>
      </c>
      <c r="F15" s="7"/>
      <c r="G15" s="7"/>
    </row>
    <row r="16" spans="2:7" x14ac:dyDescent="0.3">
      <c r="B16" t="s">
        <v>458</v>
      </c>
      <c r="C16">
        <f>IFERROR(INDEX('BS 2024-25'!C20:C69,MATCH(B16,'BS 2024-25'!A20:A69,0)),0)</f>
        <v>788</v>
      </c>
      <c r="E16" t="s">
        <v>55</v>
      </c>
      <c r="F16" s="7"/>
      <c r="G16" s="7"/>
    </row>
    <row r="17" spans="2:7" x14ac:dyDescent="0.3">
      <c r="B17" t="s">
        <v>55</v>
      </c>
      <c r="C17">
        <f>IFERROR(INDEX('BS 2024-25'!C21:C70,MATCH(B17,'BS 2024-25'!A21:A70,0)),0)</f>
        <v>1140</v>
      </c>
      <c r="E17" s="8" t="s">
        <v>48</v>
      </c>
      <c r="F17" s="9"/>
      <c r="G17" s="9"/>
    </row>
    <row r="18" spans="2:7" x14ac:dyDescent="0.3">
      <c r="B18" s="8" t="s">
        <v>48</v>
      </c>
      <c r="C18">
        <f>IFERROR(INDEX('BS 2024-25'!C22:C71,MATCH(B18,'BS 2024-25'!A22:A71,0)),0)</f>
        <v>69586</v>
      </c>
      <c r="E18" s="6" t="s">
        <v>49</v>
      </c>
    </row>
    <row r="19" spans="2:7" x14ac:dyDescent="0.3">
      <c r="B19" s="6" t="s">
        <v>49</v>
      </c>
      <c r="C19">
        <f>IFERROR(INDEX('BS 2024-25'!C23:C72,MATCH(B19,'BS 2024-25'!A23:A72,0)),0)</f>
        <v>0</v>
      </c>
      <c r="E19" t="s">
        <v>50</v>
      </c>
      <c r="F19" s="7"/>
      <c r="G19" s="7"/>
    </row>
    <row r="20" spans="2:7" x14ac:dyDescent="0.3">
      <c r="B20" t="s">
        <v>50</v>
      </c>
      <c r="C20">
        <f>IFERROR(INDEX('BS 2024-25'!C24:C73,MATCH(B20,'BS 2024-25'!A24:A73,0)),0)</f>
        <v>6402</v>
      </c>
      <c r="E20" t="s">
        <v>44</v>
      </c>
      <c r="F20" s="7"/>
      <c r="G20" s="7"/>
    </row>
    <row r="21" spans="2:7" x14ac:dyDescent="0.3">
      <c r="B21" t="s">
        <v>44</v>
      </c>
      <c r="C21">
        <f>IFERROR(INDEX('BS 2024-25'!C25:C74,MATCH(B21,'BS 2024-25'!A25:A74,0)),0)</f>
        <v>73332</v>
      </c>
      <c r="E21" t="s">
        <v>51</v>
      </c>
      <c r="F21" s="7"/>
      <c r="G21" s="7"/>
    </row>
    <row r="22" spans="2:7" x14ac:dyDescent="0.3">
      <c r="B22" t="s">
        <v>51</v>
      </c>
      <c r="C22">
        <f>IFERROR(INDEX('BS 2024-25'!C26:C75,MATCH(B22,'BS 2024-25'!A26:A75,0)),0)</f>
        <v>7345</v>
      </c>
      <c r="E22" t="s">
        <v>52</v>
      </c>
      <c r="F22" s="7"/>
      <c r="G22" s="7"/>
    </row>
    <row r="23" spans="2:7" x14ac:dyDescent="0.3">
      <c r="B23" t="s">
        <v>52</v>
      </c>
      <c r="C23">
        <f>IFERROR(INDEX('BS 2024-25'!C27:C76,MATCH(B23,'BS 2024-25'!A27:A76,0)),0)</f>
        <v>5</v>
      </c>
      <c r="E23" t="s">
        <v>53</v>
      </c>
      <c r="F23" s="7"/>
      <c r="G23" s="7"/>
    </row>
    <row r="24" spans="2:7" x14ac:dyDescent="0.3">
      <c r="B24" t="s">
        <v>53</v>
      </c>
      <c r="C24">
        <f>IFERROR(INDEX('BS 2024-25'!C28:C77,MATCH(B24,'BS 2024-25'!A28:A77,0)),0)</f>
        <v>3309</v>
      </c>
      <c r="E24" t="s">
        <v>45</v>
      </c>
      <c r="F24" s="7"/>
      <c r="G24" s="7"/>
    </row>
    <row r="25" spans="2:7" x14ac:dyDescent="0.3">
      <c r="B25" t="s">
        <v>45</v>
      </c>
      <c r="C25">
        <f>IFERROR(INDEX('BS 2024-25'!C29:C78,MATCH(B25,'BS 2024-25'!A29:A78,0)),0)</f>
        <v>2727</v>
      </c>
      <c r="E25" t="s">
        <v>46</v>
      </c>
      <c r="F25" s="7"/>
      <c r="G25" s="7"/>
    </row>
    <row r="26" spans="2:7" x14ac:dyDescent="0.3">
      <c r="B26" t="s">
        <v>46</v>
      </c>
      <c r="C26">
        <f>IFERROR(INDEX('BS 2024-25'!C30:C79,MATCH(B26,'BS 2024-25'!A30:A79,0)),0)</f>
        <v>1319</v>
      </c>
      <c r="E26" t="s">
        <v>55</v>
      </c>
      <c r="F26" s="7"/>
      <c r="G26" s="7"/>
    </row>
    <row r="27" spans="2:7" x14ac:dyDescent="0.3">
      <c r="B27" t="s">
        <v>55</v>
      </c>
      <c r="C27">
        <f>IFERROR(INDEX('BS 2024-25'!C31:C80,MATCH(B27,'BS 2024-25'!A31:A80,0)),0)</f>
        <v>2063</v>
      </c>
      <c r="E27" t="s">
        <v>459</v>
      </c>
      <c r="F27" s="7"/>
      <c r="G27" s="7"/>
    </row>
    <row r="28" spans="2:7" x14ac:dyDescent="0.3">
      <c r="B28" t="s">
        <v>459</v>
      </c>
      <c r="C28">
        <f>IFERROR(INDEX('BS 2024-25'!C32:C81,MATCH(B28,'BS 2024-25'!A32:A81,0)),0)</f>
        <v>53</v>
      </c>
      <c r="E28" s="8" t="s">
        <v>56</v>
      </c>
      <c r="F28" s="9"/>
      <c r="G28" s="9"/>
    </row>
    <row r="29" spans="2:7" ht="15" thickBot="1" x14ac:dyDescent="0.35">
      <c r="B29" s="8" t="s">
        <v>56</v>
      </c>
      <c r="C29">
        <f>IFERROR(INDEX('BS 2024-25'!C33:C82,MATCH(B29,'BS 2024-25'!A33:A82,0)),0)</f>
        <v>96555</v>
      </c>
      <c r="E29" s="10" t="s">
        <v>57</v>
      </c>
      <c r="F29" s="11"/>
      <c r="G29" s="11"/>
    </row>
    <row r="30" spans="2:7" ht="15.6" thickTop="1" thickBot="1" x14ac:dyDescent="0.35">
      <c r="B30" s="10" t="s">
        <v>57</v>
      </c>
      <c r="C30">
        <f>IFERROR(INDEX('BS 2024-25'!C34:C83,MATCH(B30,'BS 2024-25'!A34:A83,0)),0)</f>
        <v>166141</v>
      </c>
      <c r="E30" s="6" t="s">
        <v>58</v>
      </c>
    </row>
    <row r="31" spans="2:7" ht="15" thickTop="1" x14ac:dyDescent="0.3">
      <c r="B31" s="6" t="s">
        <v>58</v>
      </c>
      <c r="C31" t="s">
        <v>676</v>
      </c>
      <c r="E31" s="6" t="s">
        <v>59</v>
      </c>
    </row>
    <row r="32" spans="2:7" x14ac:dyDescent="0.3">
      <c r="B32" s="6" t="s">
        <v>59</v>
      </c>
      <c r="C32" t="s">
        <v>676</v>
      </c>
      <c r="E32" t="s">
        <v>60</v>
      </c>
      <c r="F32" s="7"/>
      <c r="G32" s="7"/>
    </row>
    <row r="33" spans="2:7" x14ac:dyDescent="0.3">
      <c r="B33" t="s">
        <v>60</v>
      </c>
      <c r="C33">
        <f>IFERROR(INDEX('BS 2024-25'!C37:C86,MATCH(B33,'BS 2024-25'!A37:A86,0)),0)</f>
        <v>4837</v>
      </c>
      <c r="E33" t="s">
        <v>61</v>
      </c>
      <c r="F33" s="7"/>
      <c r="G33" s="7"/>
    </row>
    <row r="34" spans="2:7" x14ac:dyDescent="0.3">
      <c r="B34" t="s">
        <v>61</v>
      </c>
      <c r="C34">
        <f>IFERROR(INDEX('BS 2024-25'!C38:C87,MATCH(B34,'BS 2024-25'!A38:A87,0)),0)</f>
        <v>119159</v>
      </c>
      <c r="E34" s="8" t="s">
        <v>62</v>
      </c>
      <c r="F34" s="9"/>
      <c r="G34" s="9"/>
    </row>
    <row r="35" spans="2:7" x14ac:dyDescent="0.3">
      <c r="B35" s="8" t="s">
        <v>62</v>
      </c>
      <c r="C35">
        <f>IFERROR(INDEX('BS 2024-25'!C39:C88,MATCH(B35,'BS 2024-25'!A39:A88,0)),0)</f>
        <v>123996</v>
      </c>
      <c r="E35" s="6" t="s">
        <v>63</v>
      </c>
    </row>
    <row r="36" spans="2:7" x14ac:dyDescent="0.3">
      <c r="B36" s="6" t="s">
        <v>63</v>
      </c>
      <c r="C36" t="s">
        <v>676</v>
      </c>
      <c r="E36" t="s">
        <v>64</v>
      </c>
      <c r="F36" s="7"/>
      <c r="G36" s="7"/>
    </row>
    <row r="37" spans="2:7" x14ac:dyDescent="0.3">
      <c r="B37" t="s">
        <v>64</v>
      </c>
      <c r="C37">
        <f>IFERROR(INDEX('BS 2024-25'!C41:C90,MATCH(B37,'BS 2024-25'!A41:A90,0)),0)</f>
        <v>11967</v>
      </c>
      <c r="E37" t="s">
        <v>65</v>
      </c>
      <c r="F37" s="7"/>
      <c r="G37" s="7"/>
    </row>
    <row r="38" spans="2:7" x14ac:dyDescent="0.3">
      <c r="B38" t="s">
        <v>65</v>
      </c>
      <c r="C38">
        <f>IFERROR(INDEX('BS 2024-25'!C42:C91,MATCH(B38,'BS 2024-25'!A42:A91,0)),0)</f>
        <v>79</v>
      </c>
      <c r="E38" t="s">
        <v>460</v>
      </c>
      <c r="F38" s="7"/>
      <c r="G38" s="7"/>
    </row>
    <row r="39" spans="2:7" x14ac:dyDescent="0.3">
      <c r="B39" t="s">
        <v>460</v>
      </c>
      <c r="C39">
        <f>IFERROR(INDEX('BS 2024-25'!C43:C92,MATCH(B39,'BS 2024-25'!A43:A92,0)),0)</f>
        <v>1255</v>
      </c>
      <c r="E39" t="s">
        <v>67</v>
      </c>
      <c r="F39" s="7"/>
      <c r="G39" s="7"/>
    </row>
    <row r="40" spans="2:7" x14ac:dyDescent="0.3">
      <c r="B40" t="s">
        <v>67</v>
      </c>
      <c r="C40">
        <f>IFERROR(INDEX('BS 2024-25'!C44:C93,MATCH(B40,'BS 2024-25'!A44:A93,0)),0)</f>
        <v>320</v>
      </c>
      <c r="E40" t="s">
        <v>68</v>
      </c>
      <c r="F40" s="7"/>
      <c r="G40" s="7"/>
    </row>
    <row r="41" spans="2:7" x14ac:dyDescent="0.3">
      <c r="B41" t="s">
        <v>68</v>
      </c>
      <c r="C41">
        <f>IFERROR(INDEX('BS 2024-25'!C45:C94,MATCH(B41,'BS 2024-25'!A45:A94,0)),0)</f>
        <v>1620</v>
      </c>
      <c r="E41" s="8" t="s">
        <v>69</v>
      </c>
      <c r="F41" s="9"/>
      <c r="G41" s="9"/>
    </row>
    <row r="42" spans="2:7" x14ac:dyDescent="0.3">
      <c r="B42" s="8" t="s">
        <v>69</v>
      </c>
      <c r="C42">
        <f>IFERROR(INDEX('BS 2024-25'!C46:C95,MATCH(B42,'BS 2024-25'!A46:A95,0)),0)</f>
        <v>15241</v>
      </c>
      <c r="E42" s="6" t="s">
        <v>70</v>
      </c>
    </row>
    <row r="43" spans="2:7" x14ac:dyDescent="0.3">
      <c r="B43" s="6" t="s">
        <v>70</v>
      </c>
      <c r="C43" t="s">
        <v>676</v>
      </c>
      <c r="E43" t="s">
        <v>64</v>
      </c>
      <c r="F43" s="7"/>
      <c r="G43" s="7"/>
    </row>
    <row r="44" spans="2:7" x14ac:dyDescent="0.3">
      <c r="B44" t="s">
        <v>64</v>
      </c>
      <c r="C44">
        <f>IFERROR(INDEX('BS 2024-25'!C48:C97,MATCH(B44,'BS 2024-25'!A48:A97,0)),0)</f>
        <v>11032</v>
      </c>
      <c r="E44" t="s">
        <v>65</v>
      </c>
      <c r="F44" s="7"/>
      <c r="G44" s="7"/>
    </row>
    <row r="45" spans="2:7" x14ac:dyDescent="0.3">
      <c r="B45" t="s">
        <v>65</v>
      </c>
      <c r="C45">
        <f>IFERROR(INDEX('BS 2024-25'!C49:C98,MATCH(B45,'BS 2024-25'!A49:A98,0)),0)</f>
        <v>27</v>
      </c>
      <c r="E45" t="s">
        <v>71</v>
      </c>
      <c r="F45" s="7"/>
      <c r="G45" s="7"/>
    </row>
    <row r="46" spans="2:7" x14ac:dyDescent="0.3">
      <c r="B46" t="s">
        <v>71</v>
      </c>
      <c r="C46">
        <f>IFERROR(INDEX('BS 2024-25'!C50:C99,MATCH(B46,'BS 2024-25'!A50:A99,0)),0)</f>
        <v>452</v>
      </c>
      <c r="E46" t="s">
        <v>72</v>
      </c>
      <c r="F46" s="7"/>
      <c r="G46" s="7"/>
    </row>
    <row r="47" spans="2:7" x14ac:dyDescent="0.3">
      <c r="B47" t="s">
        <v>72</v>
      </c>
      <c r="C47">
        <f>IFERROR(INDEX('BS 2024-25'!C51:C100,MATCH(B47,'BS 2024-25'!A51:A100,0)),0)</f>
        <v>1003</v>
      </c>
      <c r="E47" t="s">
        <v>73</v>
      </c>
      <c r="F47" s="7"/>
      <c r="G47" s="7"/>
    </row>
    <row r="48" spans="2:7" x14ac:dyDescent="0.3">
      <c r="B48" t="s">
        <v>73</v>
      </c>
      <c r="C48">
        <f>IFERROR(INDEX('BS 2024-25'!C52:C101,MATCH(B48,'BS 2024-25'!A52:A101,0)),0)</f>
        <v>10100</v>
      </c>
      <c r="E48" t="s">
        <v>66</v>
      </c>
      <c r="F48" s="7"/>
      <c r="G48" s="7"/>
    </row>
    <row r="49" spans="2:7" x14ac:dyDescent="0.3">
      <c r="B49" t="s">
        <v>66</v>
      </c>
      <c r="C49">
        <f>IFERROR(INDEX('BS 2024-25'!C53:C102,MATCH(B49,'BS 2024-25'!A53:A102,0)),0)</f>
        <v>2164</v>
      </c>
      <c r="E49" t="s">
        <v>378</v>
      </c>
      <c r="F49" s="7"/>
      <c r="G49" s="7"/>
    </row>
    <row r="50" spans="2:7" x14ac:dyDescent="0.3">
      <c r="B50" t="s">
        <v>378</v>
      </c>
      <c r="C50">
        <f>IFERROR(INDEX('BS 2024-25'!C54:C103,MATCH(B50,'BS 2024-25'!A54:A103,0)),0)</f>
        <v>855</v>
      </c>
      <c r="E50" t="s">
        <v>67</v>
      </c>
      <c r="F50" s="7"/>
      <c r="G50" s="7"/>
    </row>
    <row r="51" spans="2:7" x14ac:dyDescent="0.3">
      <c r="B51" t="s">
        <v>67</v>
      </c>
      <c r="C51">
        <f>IFERROR(INDEX('BS 2024-25'!C55:C104,MATCH(B51,'BS 2024-25'!A55:A104,0)),0)</f>
        <v>163</v>
      </c>
      <c r="E51" t="s">
        <v>76</v>
      </c>
      <c r="F51" s="7"/>
      <c r="G51" s="7"/>
    </row>
    <row r="52" spans="2:7" x14ac:dyDescent="0.3">
      <c r="B52" t="s">
        <v>76</v>
      </c>
      <c r="C52">
        <f>IFERROR(INDEX('BS 2024-25'!C56:C105,MATCH(B52,'BS 2024-25'!A56:A105,0)),0)</f>
        <v>1108</v>
      </c>
      <c r="E52" s="8" t="s">
        <v>77</v>
      </c>
      <c r="F52" s="9"/>
      <c r="G52" s="9"/>
    </row>
    <row r="53" spans="2:7" ht="15" thickBot="1" x14ac:dyDescent="0.35">
      <c r="B53" s="8" t="s">
        <v>77</v>
      </c>
      <c r="C53">
        <f>IFERROR(INDEX('BS 2024-25'!C57:C106,MATCH(B53,'BS 2024-25'!A57:A106,0)),0)</f>
        <v>26904</v>
      </c>
      <c r="E53" s="10" t="s">
        <v>78</v>
      </c>
      <c r="F53" s="11"/>
      <c r="G53" s="11"/>
    </row>
    <row r="54" spans="2:7" ht="15.6" thickTop="1" thickBot="1" x14ac:dyDescent="0.35">
      <c r="B54" s="10" t="s">
        <v>78</v>
      </c>
      <c r="C54">
        <f>IFERROR(INDEX('BS 2024-25'!C58:C107,MATCH(B54,'BS 2024-25'!A58:A107,0)),0)</f>
        <v>166141</v>
      </c>
    </row>
    <row r="55" spans="2:7" ht="15" thickTop="1" x14ac:dyDescent="0.3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57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58" customWidth="1"/>
    <col min="2" max="3" width="18" customWidth="1"/>
    <col min="4" max="4" width="4" customWidth="1"/>
  </cols>
  <sheetData>
    <row r="1" spans="1:3" ht="17.399999999999999" x14ac:dyDescent="0.35">
      <c r="A1" s="1" t="s">
        <v>30</v>
      </c>
    </row>
    <row r="2" spans="1:3" x14ac:dyDescent="0.3">
      <c r="A2" s="2" t="s">
        <v>109</v>
      </c>
    </row>
    <row r="3" spans="1:3" x14ac:dyDescent="0.3">
      <c r="A3" s="3" t="s">
        <v>563</v>
      </c>
    </row>
    <row r="4" spans="1:3" x14ac:dyDescent="0.3">
      <c r="A4" s="4" t="s">
        <v>33</v>
      </c>
    </row>
    <row r="6" spans="1:3" x14ac:dyDescent="0.3">
      <c r="A6" s="2" t="s">
        <v>34</v>
      </c>
      <c r="B6" s="5" t="s">
        <v>558</v>
      </c>
      <c r="C6" s="5" t="s">
        <v>506</v>
      </c>
    </row>
    <row r="7" spans="1:3" x14ac:dyDescent="0.3">
      <c r="A7" s="6" t="s">
        <v>111</v>
      </c>
    </row>
    <row r="8" spans="1:3" x14ac:dyDescent="0.3">
      <c r="A8" t="s">
        <v>94</v>
      </c>
      <c r="B8" s="7">
        <v>13006</v>
      </c>
      <c r="C8" s="7">
        <v>16007</v>
      </c>
    </row>
    <row r="9" spans="1:3" x14ac:dyDescent="0.3">
      <c r="A9" t="s">
        <v>112</v>
      </c>
      <c r="B9" s="7">
        <v>1311</v>
      </c>
      <c r="C9" s="7">
        <v>1830</v>
      </c>
    </row>
    <row r="10" spans="1:3" x14ac:dyDescent="0.3">
      <c r="A10" t="s">
        <v>113</v>
      </c>
      <c r="B10" s="7">
        <v>2223</v>
      </c>
      <c r="C10" s="7">
        <v>1478</v>
      </c>
    </row>
    <row r="11" spans="1:3" x14ac:dyDescent="0.3">
      <c r="A11" t="s">
        <v>564</v>
      </c>
      <c r="B11" s="7">
        <v>710</v>
      </c>
      <c r="C11" s="7">
        <v>-174</v>
      </c>
    </row>
    <row r="12" spans="1:3" x14ac:dyDescent="0.3">
      <c r="A12" t="s">
        <v>115</v>
      </c>
      <c r="B12" s="7">
        <v>-4285</v>
      </c>
      <c r="C12" s="7">
        <v>-4008</v>
      </c>
    </row>
    <row r="13" spans="1:3" x14ac:dyDescent="0.3">
      <c r="A13" t="s">
        <v>116</v>
      </c>
      <c r="B13" s="7">
        <v>-3462</v>
      </c>
      <c r="C13" s="7">
        <v>-2729</v>
      </c>
    </row>
    <row r="14" spans="1:3" x14ac:dyDescent="0.3">
      <c r="A14" t="s">
        <v>117</v>
      </c>
      <c r="B14" s="7">
        <v>-1452</v>
      </c>
      <c r="C14" s="7">
        <v>-1392</v>
      </c>
    </row>
    <row r="15" spans="1:3" x14ac:dyDescent="0.3">
      <c r="A15" t="s">
        <v>118</v>
      </c>
      <c r="B15" s="7">
        <v>-98</v>
      </c>
      <c r="C15" s="7">
        <v>-1</v>
      </c>
    </row>
    <row r="16" spans="1:3" x14ac:dyDescent="0.3">
      <c r="A16" t="s">
        <v>565</v>
      </c>
      <c r="B16" s="7">
        <v>14</v>
      </c>
      <c r="C16" s="7">
        <v>-614</v>
      </c>
    </row>
    <row r="17" spans="1:3" x14ac:dyDescent="0.3">
      <c r="A17" t="s">
        <v>119</v>
      </c>
      <c r="B17" s="7">
        <v>-258</v>
      </c>
      <c r="C17" s="7">
        <v>41</v>
      </c>
    </row>
    <row r="18" spans="1:3" x14ac:dyDescent="0.3">
      <c r="A18" t="s">
        <v>120</v>
      </c>
      <c r="B18" s="7">
        <v>952</v>
      </c>
      <c r="C18" s="7">
        <v>-93</v>
      </c>
    </row>
    <row r="19" spans="1:3" x14ac:dyDescent="0.3">
      <c r="A19" t="s">
        <v>121</v>
      </c>
      <c r="B19" s="7">
        <v>764</v>
      </c>
      <c r="C19" s="7">
        <v>-439</v>
      </c>
    </row>
    <row r="20" spans="1:3" x14ac:dyDescent="0.3">
      <c r="A20" t="s">
        <v>122</v>
      </c>
      <c r="B20" s="7">
        <v>277</v>
      </c>
      <c r="C20" s="7">
        <v>-323</v>
      </c>
    </row>
    <row r="21" spans="1:3" x14ac:dyDescent="0.3">
      <c r="A21" t="s">
        <v>123</v>
      </c>
      <c r="B21" s="7">
        <v>-717</v>
      </c>
      <c r="C21" s="7">
        <v>1667</v>
      </c>
    </row>
    <row r="22" spans="1:3" x14ac:dyDescent="0.3">
      <c r="A22" t="s">
        <v>124</v>
      </c>
      <c r="B22" s="7">
        <v>-1438</v>
      </c>
      <c r="C22" s="7">
        <v>258</v>
      </c>
    </row>
    <row r="23" spans="1:3" x14ac:dyDescent="0.3">
      <c r="A23" s="8" t="s">
        <v>125</v>
      </c>
      <c r="B23" s="9">
        <v>7547</v>
      </c>
      <c r="C23" s="9">
        <v>11508</v>
      </c>
    </row>
    <row r="24" spans="1:3" x14ac:dyDescent="0.3">
      <c r="A24" t="s">
        <v>126</v>
      </c>
      <c r="B24" s="7">
        <v>-2989</v>
      </c>
      <c r="C24" s="7">
        <v>-2887</v>
      </c>
    </row>
    <row r="25" spans="1:3" x14ac:dyDescent="0.3">
      <c r="A25" s="8" t="s">
        <v>127</v>
      </c>
      <c r="B25" s="9">
        <v>4558</v>
      </c>
      <c r="C25" s="9">
        <v>8621</v>
      </c>
    </row>
    <row r="26" spans="1:3" x14ac:dyDescent="0.3">
      <c r="A26" s="6" t="s">
        <v>128</v>
      </c>
    </row>
    <row r="27" spans="1:3" x14ac:dyDescent="0.3">
      <c r="A27" t="s">
        <v>129</v>
      </c>
      <c r="B27" s="7">
        <v>-1410</v>
      </c>
      <c r="C27" s="42">
        <v>-861</v>
      </c>
    </row>
    <row r="28" spans="1:3" x14ac:dyDescent="0.3">
      <c r="A28" t="s">
        <v>130</v>
      </c>
      <c r="B28" s="7">
        <v>125</v>
      </c>
      <c r="C28" s="42">
        <v>28</v>
      </c>
    </row>
    <row r="29" spans="1:3" x14ac:dyDescent="0.3">
      <c r="A29" t="s">
        <v>131</v>
      </c>
      <c r="B29" s="7">
        <v>-20</v>
      </c>
      <c r="C29" s="42">
        <v>-150</v>
      </c>
    </row>
    <row r="30" spans="1:3" x14ac:dyDescent="0.3">
      <c r="A30" t="s">
        <v>513</v>
      </c>
      <c r="B30" s="7">
        <v>-159319</v>
      </c>
      <c r="C30" s="42">
        <v>-75423</v>
      </c>
    </row>
    <row r="31" spans="1:3" x14ac:dyDescent="0.3">
      <c r="A31" t="s">
        <v>134</v>
      </c>
      <c r="B31" s="7">
        <v>144341</v>
      </c>
      <c r="C31" s="42">
        <v>72957</v>
      </c>
    </row>
    <row r="32" spans="1:3" x14ac:dyDescent="0.3">
      <c r="A32" t="s">
        <v>135</v>
      </c>
      <c r="B32" s="7">
        <v>1457</v>
      </c>
      <c r="C32" s="42">
        <v>1495</v>
      </c>
    </row>
    <row r="33" spans="1:5" x14ac:dyDescent="0.3">
      <c r="A33" t="s">
        <v>515</v>
      </c>
      <c r="B33" s="7">
        <v>0</v>
      </c>
      <c r="C33" s="7">
        <v>-3388</v>
      </c>
    </row>
    <row r="34" spans="1:5" x14ac:dyDescent="0.3">
      <c r="A34" t="s">
        <v>136</v>
      </c>
      <c r="B34" s="7">
        <v>-2725</v>
      </c>
      <c r="C34" s="7">
        <v>0</v>
      </c>
    </row>
    <row r="35" spans="1:5" x14ac:dyDescent="0.3">
      <c r="A35" t="s">
        <v>137</v>
      </c>
      <c r="B35" s="7">
        <v>-3072</v>
      </c>
      <c r="C35" s="7">
        <v>-3820</v>
      </c>
    </row>
    <row r="36" spans="1:5" x14ac:dyDescent="0.3">
      <c r="A36" t="s">
        <v>566</v>
      </c>
      <c r="B36" s="7">
        <v>1793</v>
      </c>
      <c r="C36" s="7">
        <v>3200</v>
      </c>
    </row>
    <row r="37" spans="1:5" x14ac:dyDescent="0.3">
      <c r="A37" t="s">
        <v>516</v>
      </c>
      <c r="B37" s="7">
        <v>0</v>
      </c>
      <c r="C37" s="7">
        <v>48</v>
      </c>
    </row>
    <row r="38" spans="1:5" x14ac:dyDescent="0.3">
      <c r="A38" t="s">
        <v>517</v>
      </c>
      <c r="B38" s="7">
        <v>1587</v>
      </c>
      <c r="C38" s="42">
        <v>3235</v>
      </c>
    </row>
    <row r="39" spans="1:5" x14ac:dyDescent="0.3">
      <c r="A39" t="s">
        <v>518</v>
      </c>
      <c r="B39" s="7">
        <v>39</v>
      </c>
      <c r="C39" s="42">
        <v>70</v>
      </c>
    </row>
    <row r="40" spans="1:5" x14ac:dyDescent="0.3">
      <c r="A40" s="8" t="s">
        <v>140</v>
      </c>
      <c r="B40" s="9">
        <v>-17204</v>
      </c>
      <c r="C40" s="9">
        <v>-2609</v>
      </c>
      <c r="E40" s="7" t="s">
        <v>676</v>
      </c>
    </row>
    <row r="41" spans="1:5" x14ac:dyDescent="0.3">
      <c r="A41" s="6" t="s">
        <v>141</v>
      </c>
    </row>
    <row r="42" spans="1:5" x14ac:dyDescent="0.3">
      <c r="A42" t="s">
        <v>142</v>
      </c>
      <c r="B42" s="7">
        <v>-2256</v>
      </c>
      <c r="C42" s="7">
        <v>-1608</v>
      </c>
    </row>
    <row r="43" spans="1:5" x14ac:dyDescent="0.3">
      <c r="A43" t="s">
        <v>567</v>
      </c>
      <c r="B43" s="7">
        <v>0</v>
      </c>
      <c r="C43" s="7">
        <v>-733</v>
      </c>
    </row>
    <row r="44" spans="1:5" x14ac:dyDescent="0.3">
      <c r="A44" t="s">
        <v>520</v>
      </c>
      <c r="B44" s="7">
        <v>21342</v>
      </c>
      <c r="C44" s="7">
        <v>7481</v>
      </c>
    </row>
    <row r="45" spans="1:5" x14ac:dyDescent="0.3">
      <c r="A45" t="s">
        <v>568</v>
      </c>
      <c r="B45" s="7">
        <v>-7</v>
      </c>
      <c r="C45" s="7">
        <v>0</v>
      </c>
    </row>
    <row r="46" spans="1:5" x14ac:dyDescent="0.3">
      <c r="A46" t="s">
        <v>144</v>
      </c>
      <c r="B46" s="7">
        <v>-93</v>
      </c>
      <c r="C46" s="7">
        <v>-123</v>
      </c>
    </row>
    <row r="47" spans="1:5" x14ac:dyDescent="0.3">
      <c r="A47" t="s">
        <v>522</v>
      </c>
      <c r="B47" s="7">
        <v>-6371</v>
      </c>
      <c r="C47" s="7">
        <v>-9317</v>
      </c>
    </row>
    <row r="48" spans="1:5" x14ac:dyDescent="0.3">
      <c r="A48" s="8" t="s">
        <v>146</v>
      </c>
      <c r="B48" s="9">
        <v>12615</v>
      </c>
      <c r="C48" s="9">
        <v>-4300</v>
      </c>
    </row>
    <row r="49" spans="1:3" x14ac:dyDescent="0.3">
      <c r="A49" s="8" t="s">
        <v>147</v>
      </c>
      <c r="B49" s="9">
        <v>-31</v>
      </c>
      <c r="C49" s="9">
        <v>1712</v>
      </c>
    </row>
    <row r="50" spans="1:3" x14ac:dyDescent="0.3">
      <c r="A50" t="s">
        <v>148</v>
      </c>
      <c r="B50" s="7">
        <v>3309</v>
      </c>
      <c r="C50" s="7">
        <v>1597</v>
      </c>
    </row>
    <row r="51" spans="1:3" x14ac:dyDescent="0.3">
      <c r="A51" s="10" t="s">
        <v>149</v>
      </c>
      <c r="B51" s="11">
        <v>3278</v>
      </c>
      <c r="C51" s="11">
        <v>3309</v>
      </c>
    </row>
    <row r="52" spans="1:3" x14ac:dyDescent="0.3">
      <c r="A52" s="6" t="s">
        <v>150</v>
      </c>
    </row>
    <row r="53" spans="1:3" x14ac:dyDescent="0.3">
      <c r="A53" t="s">
        <v>151</v>
      </c>
      <c r="B53" s="7">
        <v>204</v>
      </c>
      <c r="C53" s="7">
        <v>314</v>
      </c>
    </row>
    <row r="54" spans="1:3" x14ac:dyDescent="0.3">
      <c r="A54" t="s">
        <v>152</v>
      </c>
      <c r="B54" s="7">
        <v>430</v>
      </c>
      <c r="C54" s="7">
        <v>1300</v>
      </c>
    </row>
    <row r="55" spans="1:3" x14ac:dyDescent="0.3">
      <c r="A55" t="s">
        <v>153</v>
      </c>
      <c r="B55" s="7">
        <v>1513</v>
      </c>
      <c r="C55" s="7">
        <v>1295</v>
      </c>
    </row>
    <row r="56" spans="1:3" x14ac:dyDescent="0.3">
      <c r="A56" t="s">
        <v>154</v>
      </c>
      <c r="B56" s="7">
        <v>1131</v>
      </c>
      <c r="C56" s="7">
        <v>400</v>
      </c>
    </row>
    <row r="57" spans="1:3" x14ac:dyDescent="0.3">
      <c r="A57" t="s">
        <v>155</v>
      </c>
      <c r="B57" s="7">
        <v>0</v>
      </c>
      <c r="C57" s="7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4"/>
  <sheetViews>
    <sheetView workbookViewId="0">
      <pane ySplit="4" topLeftCell="A5" activePane="bottomLeft" state="frozen"/>
      <selection pane="bottomLeft" activeCell="B15" sqref="B15"/>
    </sheetView>
  </sheetViews>
  <sheetFormatPr defaultRowHeight="14.4" x14ac:dyDescent="0.3"/>
  <cols>
    <col min="1" max="1" width="58" customWidth="1"/>
    <col min="2" max="3" width="18" customWidth="1"/>
    <col min="4" max="4" width="4" customWidth="1"/>
  </cols>
  <sheetData>
    <row r="1" spans="1:3" ht="17.399999999999999" x14ac:dyDescent="0.35">
      <c r="A1" s="1" t="s">
        <v>30</v>
      </c>
    </row>
    <row r="2" spans="1:3" x14ac:dyDescent="0.3">
      <c r="A2" s="2" t="s">
        <v>79</v>
      </c>
    </row>
    <row r="3" spans="1:3" x14ac:dyDescent="0.3">
      <c r="A3" s="3" t="s">
        <v>559</v>
      </c>
    </row>
    <row r="4" spans="1:3" x14ac:dyDescent="0.3">
      <c r="A4" s="4" t="s">
        <v>33</v>
      </c>
    </row>
    <row r="6" spans="1:3" x14ac:dyDescent="0.3">
      <c r="A6" s="2" t="s">
        <v>34</v>
      </c>
      <c r="B6" s="5" t="s">
        <v>558</v>
      </c>
      <c r="C6" s="5" t="s">
        <v>506</v>
      </c>
    </row>
    <row r="7" spans="1:3" x14ac:dyDescent="0.3">
      <c r="A7" s="6" t="s">
        <v>81</v>
      </c>
    </row>
    <row r="8" spans="1:3" x14ac:dyDescent="0.3">
      <c r="A8" t="s">
        <v>560</v>
      </c>
      <c r="B8" s="7">
        <v>72308</v>
      </c>
      <c r="C8" s="7">
        <v>71475</v>
      </c>
    </row>
    <row r="9" spans="1:3" x14ac:dyDescent="0.3">
      <c r="A9" t="s">
        <v>83</v>
      </c>
      <c r="B9" s="7">
        <v>9191</v>
      </c>
      <c r="C9" s="7">
        <v>9583</v>
      </c>
    </row>
    <row r="10" spans="1:3" x14ac:dyDescent="0.3">
      <c r="A10" s="8" t="s">
        <v>84</v>
      </c>
      <c r="B10" s="9">
        <v>81499</v>
      </c>
      <c r="C10" s="9">
        <v>81058</v>
      </c>
    </row>
    <row r="11" spans="1:3" x14ac:dyDescent="0.3">
      <c r="A11" s="6" t="s">
        <v>85</v>
      </c>
    </row>
    <row r="12" spans="1:3" x14ac:dyDescent="0.3">
      <c r="A12" t="s">
        <v>86</v>
      </c>
      <c r="B12" s="7">
        <v>39567</v>
      </c>
      <c r="C12" s="7">
        <v>38297</v>
      </c>
    </row>
    <row r="13" spans="1:3" x14ac:dyDescent="0.3">
      <c r="A13" t="s">
        <v>87</v>
      </c>
      <c r="B13" s="7">
        <v>1434</v>
      </c>
      <c r="C13" s="7">
        <v>530</v>
      </c>
    </row>
    <row r="14" spans="1:3" x14ac:dyDescent="0.3">
      <c r="A14" t="s">
        <v>88</v>
      </c>
      <c r="B14" s="7">
        <v>-293</v>
      </c>
      <c r="C14" s="7">
        <v>697</v>
      </c>
    </row>
    <row r="15" spans="1:3" x14ac:dyDescent="0.3">
      <c r="A15" t="s">
        <v>89</v>
      </c>
      <c r="B15" s="7">
        <v>6467</v>
      </c>
      <c r="C15" s="7">
        <v>6264</v>
      </c>
    </row>
    <row r="16" spans="1:3" x14ac:dyDescent="0.3">
      <c r="A16" t="s">
        <v>90</v>
      </c>
      <c r="B16" s="7">
        <v>2223</v>
      </c>
      <c r="C16" s="7">
        <v>1478</v>
      </c>
    </row>
    <row r="17" spans="1:3" x14ac:dyDescent="0.3">
      <c r="A17" t="s">
        <v>561</v>
      </c>
      <c r="B17" s="7">
        <v>1311</v>
      </c>
      <c r="C17" s="7">
        <v>1830</v>
      </c>
    </row>
    <row r="18" spans="1:3" x14ac:dyDescent="0.3">
      <c r="A18" t="s">
        <v>562</v>
      </c>
      <c r="B18" s="7">
        <v>17784</v>
      </c>
      <c r="C18" s="7">
        <v>15955</v>
      </c>
    </row>
    <row r="19" spans="1:3" x14ac:dyDescent="0.3">
      <c r="A19" s="8" t="s">
        <v>462</v>
      </c>
      <c r="B19" s="9">
        <v>68493</v>
      </c>
      <c r="C19" s="9">
        <v>65051</v>
      </c>
    </row>
    <row r="20" spans="1:3" x14ac:dyDescent="0.3">
      <c r="A20" s="8" t="s">
        <v>94</v>
      </c>
      <c r="B20" s="9">
        <v>13006</v>
      </c>
      <c r="C20" s="9">
        <v>16007</v>
      </c>
    </row>
    <row r="21" spans="1:3" x14ac:dyDescent="0.3">
      <c r="A21" s="6" t="s">
        <v>95</v>
      </c>
    </row>
    <row r="22" spans="1:3" x14ac:dyDescent="0.3">
      <c r="A22" t="s">
        <v>96</v>
      </c>
      <c r="B22" s="7">
        <v>3157</v>
      </c>
      <c r="C22" s="7">
        <v>2766</v>
      </c>
    </row>
    <row r="23" spans="1:3" x14ac:dyDescent="0.3">
      <c r="A23" t="s">
        <v>97</v>
      </c>
      <c r="B23" s="7">
        <v>73</v>
      </c>
      <c r="C23" s="7">
        <v>609</v>
      </c>
    </row>
    <row r="24" spans="1:3" x14ac:dyDescent="0.3">
      <c r="A24" s="8" t="s">
        <v>98</v>
      </c>
      <c r="B24" s="9">
        <v>3230</v>
      </c>
      <c r="C24" s="9">
        <v>3375</v>
      </c>
    </row>
    <row r="25" spans="1:3" x14ac:dyDescent="0.3">
      <c r="A25" s="8" t="s">
        <v>99</v>
      </c>
      <c r="B25" s="9">
        <v>9776</v>
      </c>
      <c r="C25" s="9">
        <v>12632</v>
      </c>
    </row>
    <row r="26" spans="1:3" x14ac:dyDescent="0.3">
      <c r="A26" s="6" t="s">
        <v>100</v>
      </c>
    </row>
    <row r="27" spans="1:3" x14ac:dyDescent="0.3">
      <c r="A27" t="s">
        <v>380</v>
      </c>
      <c r="B27" s="7">
        <v>-19</v>
      </c>
      <c r="C27" s="7">
        <v>-85</v>
      </c>
    </row>
    <row r="28" spans="1:3" x14ac:dyDescent="0.3">
      <c r="A28" t="s">
        <v>381</v>
      </c>
      <c r="B28" s="7">
        <v>65</v>
      </c>
      <c r="C28" s="7">
        <v>122</v>
      </c>
    </row>
    <row r="29" spans="1:3" x14ac:dyDescent="0.3">
      <c r="A29" t="s">
        <v>103</v>
      </c>
      <c r="B29" s="7">
        <v>-125</v>
      </c>
      <c r="C29" s="7">
        <v>-67</v>
      </c>
    </row>
    <row r="30" spans="1:3" x14ac:dyDescent="0.3">
      <c r="A30" s="8" t="s">
        <v>104</v>
      </c>
      <c r="B30" s="9">
        <v>-79</v>
      </c>
      <c r="C30" s="9">
        <v>-30</v>
      </c>
    </row>
    <row r="31" spans="1:3" x14ac:dyDescent="0.3">
      <c r="A31" s="10" t="s">
        <v>105</v>
      </c>
      <c r="B31" s="11">
        <v>9697</v>
      </c>
      <c r="C31" s="11">
        <v>12602</v>
      </c>
    </row>
    <row r="32" spans="1:3" x14ac:dyDescent="0.3">
      <c r="A32" s="6" t="s">
        <v>106</v>
      </c>
    </row>
    <row r="33" spans="1:3" x14ac:dyDescent="0.3">
      <c r="A33" t="s">
        <v>107</v>
      </c>
      <c r="B33" s="7">
        <v>483659648</v>
      </c>
      <c r="C33" s="7">
        <v>483662163</v>
      </c>
    </row>
    <row r="34" spans="1:3" x14ac:dyDescent="0.3">
      <c r="A34" t="s">
        <v>108</v>
      </c>
      <c r="B34" s="7">
        <v>20.21</v>
      </c>
      <c r="C34" s="7">
        <v>26.12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BE4E-B3E9-4FF7-8AC1-88EB3199D676}">
  <dimension ref="A2:K139"/>
  <sheetViews>
    <sheetView showGridLines="0" zoomScale="102" workbookViewId="0">
      <pane ySplit="3" topLeftCell="A111" activePane="bottomLeft" state="frozen"/>
      <selection pane="bottomLeft" activeCell="C116" sqref="C116"/>
    </sheetView>
  </sheetViews>
  <sheetFormatPr defaultRowHeight="14.4" x14ac:dyDescent="0.3"/>
  <cols>
    <col min="1" max="1" width="1.88671875" customWidth="1"/>
    <col min="2" max="2" width="44" bestFit="1" customWidth="1"/>
    <col min="3" max="3" width="13" bestFit="1" customWidth="1"/>
    <col min="4" max="4" width="15.5546875" customWidth="1"/>
    <col min="5" max="9" width="13.21875" bestFit="1" customWidth="1"/>
    <col min="10" max="10" width="43" bestFit="1" customWidth="1"/>
  </cols>
  <sheetData>
    <row r="2" spans="2:10" x14ac:dyDescent="0.3">
      <c r="B2" s="140" t="str">
        <f>"Historical Financial Statement - "&amp;'[1]Data Sheet'!C1</f>
        <v>Historical Financial Statement - Wipro Ltd</v>
      </c>
      <c r="C2" s="140"/>
      <c r="D2" s="140"/>
      <c r="E2" s="140"/>
      <c r="F2" s="140"/>
      <c r="G2" s="140"/>
      <c r="H2" s="140"/>
    </row>
    <row r="3" spans="2:10" x14ac:dyDescent="0.3">
      <c r="B3" s="12" t="s">
        <v>646</v>
      </c>
      <c r="C3" s="13">
        <f>'[1]Data Sheet'!E16</f>
        <v>43921</v>
      </c>
      <c r="D3" s="13">
        <f>'[1]Data Sheet'!F16</f>
        <v>44286</v>
      </c>
      <c r="E3" s="13">
        <f>'[1]Data Sheet'!G16</f>
        <v>44651</v>
      </c>
      <c r="F3" s="13">
        <f>'[1]Data Sheet'!H16</f>
        <v>45016</v>
      </c>
      <c r="G3" s="13">
        <f>'[1]Data Sheet'!I16</f>
        <v>45382</v>
      </c>
      <c r="H3" s="13">
        <f>'[1]Data Sheet'!J16</f>
        <v>45747</v>
      </c>
    </row>
    <row r="4" spans="2:10" x14ac:dyDescent="0.3">
      <c r="B4" s="14"/>
      <c r="C4" s="15"/>
      <c r="D4" s="15"/>
      <c r="E4" s="15"/>
      <c r="F4" s="15"/>
      <c r="G4" s="15"/>
      <c r="H4" s="15"/>
    </row>
    <row r="5" spans="2:10" x14ac:dyDescent="0.3">
      <c r="B5" s="16" t="s">
        <v>647</v>
      </c>
      <c r="C5" s="17"/>
      <c r="D5" s="17"/>
      <c r="E5" s="17"/>
      <c r="F5" s="17"/>
      <c r="G5" s="17"/>
      <c r="H5" s="17"/>
    </row>
    <row r="6" spans="2:10" x14ac:dyDescent="0.3">
      <c r="B6" s="18"/>
      <c r="C6" s="19"/>
      <c r="D6" s="19"/>
      <c r="E6" s="19"/>
      <c r="F6" s="19"/>
      <c r="G6" s="19"/>
      <c r="H6" s="19"/>
    </row>
    <row r="7" spans="2:10" x14ac:dyDescent="0.3">
      <c r="B7" t="s">
        <v>648</v>
      </c>
      <c r="C7" s="20">
        <f>IFERROR('PL 2020-21'!C8,0)</f>
        <v>47775</v>
      </c>
      <c r="D7" s="20">
        <f>IFERROR('PL 2020-21'!B8,0)</f>
        <v>51658</v>
      </c>
      <c r="E7" s="20">
        <f>IFERROR('PL 2022-23'!C8,0)</f>
        <v>57884</v>
      </c>
      <c r="F7" s="20">
        <f>IFERROR('PL 2022-23'!B8,0)</f>
        <v>70052</v>
      </c>
      <c r="G7" s="20">
        <f>IFERROR('PL 2024-25'!C8,0)</f>
        <v>71475</v>
      </c>
      <c r="H7" s="20">
        <f>IFERROR('PL 2024-25'!B8,0)</f>
        <v>72308</v>
      </c>
    </row>
    <row r="8" spans="2:10" x14ac:dyDescent="0.3">
      <c r="B8" s="21" t="s">
        <v>649</v>
      </c>
      <c r="C8" s="22" t="s">
        <v>690</v>
      </c>
      <c r="D8" s="22">
        <f>D7/C7-1</f>
        <v>8.1276818419675489E-2</v>
      </c>
      <c r="E8" s="22">
        <f t="shared" ref="E8:H8" si="0">E7/D7-1</f>
        <v>0.12052344264199166</v>
      </c>
      <c r="F8" s="22">
        <f t="shared" si="0"/>
        <v>0.21021353050929448</v>
      </c>
      <c r="G8" s="22">
        <f t="shared" si="0"/>
        <v>2.0313481413806844E-2</v>
      </c>
      <c r="H8" s="22">
        <f t="shared" si="0"/>
        <v>1.1654424623994464E-2</v>
      </c>
    </row>
    <row r="9" spans="2:10" x14ac:dyDescent="0.3">
      <c r="B9" t="s">
        <v>688</v>
      </c>
      <c r="C9" s="20">
        <f>IFERROR('PL 2020-21'!C9,0)</f>
        <v>4900</v>
      </c>
      <c r="D9" s="20">
        <f>IFERROR('PL 2020-21'!B9,0)</f>
        <v>6905</v>
      </c>
      <c r="E9" s="20">
        <f>IFERROR('PL 2022-23'!C9,0)</f>
        <v>5711</v>
      </c>
      <c r="F9" s="20">
        <f>IFERROR('PL 2022-23'!B9,0)</f>
        <v>7572</v>
      </c>
      <c r="G9" s="20">
        <f>IFERROR('PL 2024-25'!C9,0)</f>
        <v>9583</v>
      </c>
      <c r="H9" s="20">
        <f>IFERROR('PL 2024-25'!B9,0)</f>
        <v>9191</v>
      </c>
    </row>
    <row r="10" spans="2:10" x14ac:dyDescent="0.3">
      <c r="C10" s="20"/>
      <c r="D10" s="22">
        <f>D9/C9-1</f>
        <v>0.40918367346938767</v>
      </c>
      <c r="E10" s="22">
        <f t="shared" ref="E10:H10" si="1">E9/D9-1</f>
        <v>-0.1729181752353367</v>
      </c>
      <c r="F10" s="22">
        <f t="shared" si="1"/>
        <v>0.32586237086324643</v>
      </c>
      <c r="G10" s="22">
        <f t="shared" si="1"/>
        <v>0.26558372952984688</v>
      </c>
      <c r="H10" s="22">
        <f t="shared" si="1"/>
        <v>-4.0905770635500383E-2</v>
      </c>
    </row>
    <row r="11" spans="2:10" x14ac:dyDescent="0.3">
      <c r="B11" s="24" t="s">
        <v>689</v>
      </c>
      <c r="C11" s="26">
        <f t="shared" ref="C11:H11" si="2">IFERROR(SUM(C7,C9),0)</f>
        <v>52675</v>
      </c>
      <c r="D11" s="26">
        <f t="shared" si="2"/>
        <v>58563</v>
      </c>
      <c r="E11" s="26">
        <f t="shared" si="2"/>
        <v>63595</v>
      </c>
      <c r="F11" s="26">
        <f t="shared" si="2"/>
        <v>77624</v>
      </c>
      <c r="G11" s="26">
        <f t="shared" si="2"/>
        <v>81058</v>
      </c>
      <c r="H11" s="26">
        <f t="shared" si="2"/>
        <v>81499</v>
      </c>
    </row>
    <row r="12" spans="2:10" x14ac:dyDescent="0.3">
      <c r="C12" s="20"/>
      <c r="D12" s="22">
        <f>D11/C11-1</f>
        <v>0.11177978168011382</v>
      </c>
      <c r="E12" s="22">
        <f t="shared" ref="E12:H12" si="3">E11/D11-1</f>
        <v>8.5924559875689477E-2</v>
      </c>
      <c r="F12" s="22">
        <f t="shared" si="3"/>
        <v>0.22059910370312141</v>
      </c>
      <c r="G12" s="22">
        <f t="shared" si="3"/>
        <v>4.4238895187055594E-2</v>
      </c>
      <c r="H12" s="22">
        <f t="shared" si="3"/>
        <v>5.4405487428754729E-3</v>
      </c>
    </row>
    <row r="13" spans="2:10" x14ac:dyDescent="0.3">
      <c r="B13" t="s">
        <v>650</v>
      </c>
      <c r="C13" s="20">
        <f>IFERROR(SUM('PL 2020-21'!C12:C14),0)</f>
        <v>25307</v>
      </c>
      <c r="D13" s="20">
        <f>IFERROR(SUM('PL 2020-21'!B12:B14),0)</f>
        <v>30003</v>
      </c>
      <c r="E13" s="20">
        <f>IFERROR(SUM('PL 2021-22'!B12:B14),0)</f>
        <v>34114</v>
      </c>
      <c r="F13" s="20">
        <f>IFERROR(SUM('PL 2022-23'!B12:B14),0)</f>
        <v>41330</v>
      </c>
      <c r="G13" s="20">
        <f>IFERROR(SUM('PL 2024-25'!C12:C14),0)</f>
        <v>39524</v>
      </c>
      <c r="H13" s="20">
        <f>IFERROR(SUM('PL 2024-25'!B12:B14),0)</f>
        <v>40708</v>
      </c>
    </row>
    <row r="14" spans="2:10" x14ac:dyDescent="0.3">
      <c r="B14" s="23" t="s">
        <v>651</v>
      </c>
      <c r="C14" s="22">
        <f t="shared" ref="C14:H14" si="4">C13/C7</f>
        <v>0.52971219256933544</v>
      </c>
      <c r="D14" s="22">
        <f t="shared" si="4"/>
        <v>0.58080065043168527</v>
      </c>
      <c r="E14" s="22">
        <f t="shared" si="4"/>
        <v>0.58935111602515378</v>
      </c>
      <c r="F14" s="22">
        <f t="shared" si="4"/>
        <v>0.58999029292525551</v>
      </c>
      <c r="G14" s="22">
        <f t="shared" si="4"/>
        <v>0.55297656523259886</v>
      </c>
      <c r="H14" s="22">
        <f t="shared" si="4"/>
        <v>0.56298058306134868</v>
      </c>
    </row>
    <row r="16" spans="2:10" x14ac:dyDescent="0.3">
      <c r="B16" t="s">
        <v>652</v>
      </c>
      <c r="C16" s="20">
        <f>C11-C13</f>
        <v>27368</v>
      </c>
      <c r="D16" s="20">
        <f t="shared" ref="D16:H16" si="5">D11-D13</f>
        <v>28560</v>
      </c>
      <c r="E16" s="20">
        <f t="shared" si="5"/>
        <v>29481</v>
      </c>
      <c r="F16" s="20">
        <f>F11-F13</f>
        <v>36294</v>
      </c>
      <c r="G16" s="20">
        <f t="shared" si="5"/>
        <v>41534</v>
      </c>
      <c r="H16" s="20">
        <f t="shared" si="5"/>
        <v>40791</v>
      </c>
      <c r="J16" s="20" t="s">
        <v>676</v>
      </c>
    </row>
    <row r="17" spans="2:10" x14ac:dyDescent="0.3">
      <c r="B17" s="23" t="s">
        <v>653</v>
      </c>
      <c r="C17" s="22">
        <f t="shared" ref="C17:H17" si="6">C16/C7</f>
        <v>0.57285190999476709</v>
      </c>
      <c r="D17" s="22">
        <f t="shared" si="6"/>
        <v>0.55286693251771268</v>
      </c>
      <c r="E17" s="22">
        <f t="shared" si="6"/>
        <v>0.50931172690208004</v>
      </c>
      <c r="F17" s="22">
        <f t="shared" si="6"/>
        <v>0.51810083937646323</v>
      </c>
      <c r="G17" s="22">
        <f t="shared" si="6"/>
        <v>0.58109828611402592</v>
      </c>
      <c r="H17" s="22">
        <f t="shared" si="6"/>
        <v>0.56412845051723182</v>
      </c>
      <c r="J17" s="20" t="s">
        <v>676</v>
      </c>
    </row>
    <row r="19" spans="2:10" x14ac:dyDescent="0.3">
      <c r="B19" t="s">
        <v>691</v>
      </c>
      <c r="C19" s="20">
        <f>IFERROR('PL 2020-21'!C15,0)</f>
        <v>4077</v>
      </c>
      <c r="D19" s="20">
        <f>IFERROR('PL 2020-21'!B15,0)</f>
        <v>4518</v>
      </c>
      <c r="E19" s="20">
        <f>IFERROR('PL 2022-23'!C15,0)</f>
        <v>4944</v>
      </c>
      <c r="F19" s="20">
        <f>IFERROR('PL 2022-23'!B15,0)</f>
        <v>5585</v>
      </c>
      <c r="G19" s="20">
        <f>IFERROR('PL 2024-25'!C15,0)</f>
        <v>6264</v>
      </c>
      <c r="H19" s="20">
        <f>IFERROR('PL 2024-25'!B15,0)</f>
        <v>6467</v>
      </c>
    </row>
    <row r="20" spans="2:10" x14ac:dyDescent="0.3">
      <c r="B20" s="23" t="s">
        <v>758</v>
      </c>
      <c r="C20" s="22">
        <f t="shared" ref="C20:H20" si="7">C19/C7</f>
        <v>8.5337519623233909E-2</v>
      </c>
      <c r="D20" s="22">
        <f t="shared" si="7"/>
        <v>8.7459831971814631E-2</v>
      </c>
      <c r="E20" s="22">
        <f t="shared" si="7"/>
        <v>8.5412203717780383E-2</v>
      </c>
      <c r="F20" s="22">
        <f t="shared" si="7"/>
        <v>7.9726488893964484E-2</v>
      </c>
      <c r="G20" s="22">
        <f t="shared" si="7"/>
        <v>8.7639034627492132E-2</v>
      </c>
      <c r="H20" s="22">
        <f t="shared" si="7"/>
        <v>8.9436853460198043E-2</v>
      </c>
    </row>
    <row r="21" spans="2:10" x14ac:dyDescent="0.3">
      <c r="B21" s="23"/>
      <c r="C21" s="22"/>
      <c r="D21" s="22"/>
      <c r="E21" s="22"/>
      <c r="F21" s="22"/>
      <c r="G21" s="22"/>
      <c r="H21" s="22"/>
    </row>
    <row r="22" spans="2:10" x14ac:dyDescent="0.3">
      <c r="B22" s="88" t="s">
        <v>783</v>
      </c>
      <c r="C22" s="20">
        <f>IFERROR('PL 2020-21'!C18,0)</f>
        <v>11893</v>
      </c>
      <c r="D22" s="20">
        <f>IFERROR('PL 2020-21'!B18,0)</f>
        <v>11101</v>
      </c>
      <c r="E22" s="20">
        <f>IFERROR('PL 2022-23'!C18,0)</f>
        <v>11844</v>
      </c>
      <c r="F22" s="20">
        <f>IFERROR('PL 2022-23'!B18,0)</f>
        <v>15329</v>
      </c>
      <c r="G22" s="20">
        <f>IFERROR('PL 2024-25'!C18,0)</f>
        <v>15955</v>
      </c>
      <c r="H22" s="20">
        <f>IFERROR('PL 2024-25'!B18,0)</f>
        <v>17784</v>
      </c>
    </row>
    <row r="23" spans="2:10" x14ac:dyDescent="0.3">
      <c r="C23" s="22">
        <f>C22/C7</f>
        <v>0.24893772893772895</v>
      </c>
      <c r="D23" s="22">
        <f t="shared" ref="D23:H23" si="8">D22/D7</f>
        <v>0.2148941112702776</v>
      </c>
      <c r="E23" s="22">
        <f t="shared" si="8"/>
        <v>0.20461612880934282</v>
      </c>
      <c r="F23" s="22">
        <f t="shared" si="8"/>
        <v>0.21882315993833151</v>
      </c>
      <c r="G23" s="22">
        <f t="shared" si="8"/>
        <v>0.22322490381252186</v>
      </c>
      <c r="H23" s="22">
        <f t="shared" si="8"/>
        <v>0.24594788958344857</v>
      </c>
    </row>
    <row r="24" spans="2:10" x14ac:dyDescent="0.3">
      <c r="B24" s="24" t="s">
        <v>654</v>
      </c>
      <c r="C24" s="26">
        <f>C16-SUM(C19,C22)</f>
        <v>11398</v>
      </c>
      <c r="D24" s="26">
        <f t="shared" ref="D24:H24" si="9">D16-SUM(D19,D22)</f>
        <v>12941</v>
      </c>
      <c r="E24" s="26">
        <f t="shared" si="9"/>
        <v>12693</v>
      </c>
      <c r="F24" s="26">
        <f t="shared" si="9"/>
        <v>15380</v>
      </c>
      <c r="G24" s="26">
        <f t="shared" si="9"/>
        <v>19315</v>
      </c>
      <c r="H24" s="26">
        <f t="shared" si="9"/>
        <v>16540</v>
      </c>
    </row>
    <row r="25" spans="2:10" x14ac:dyDescent="0.3">
      <c r="B25" s="23" t="s">
        <v>655</v>
      </c>
      <c r="C25" s="22">
        <f t="shared" ref="C25:H25" si="10">C24/C7</f>
        <v>0.23857666143380429</v>
      </c>
      <c r="D25" s="22">
        <f t="shared" si="10"/>
        <v>0.25051298927562043</v>
      </c>
      <c r="E25" s="22">
        <f t="shared" si="10"/>
        <v>0.21928339437495681</v>
      </c>
      <c r="F25" s="22">
        <f t="shared" si="10"/>
        <v>0.21955119054416719</v>
      </c>
      <c r="G25" s="22">
        <f t="shared" si="10"/>
        <v>0.27023434767401189</v>
      </c>
      <c r="H25" s="22">
        <f t="shared" si="10"/>
        <v>0.22874370747358522</v>
      </c>
    </row>
    <row r="27" spans="2:10" x14ac:dyDescent="0.3">
      <c r="B27" t="s">
        <v>656</v>
      </c>
      <c r="C27" s="20">
        <f>IFERROR('PL 2020-21'!C16,0)</f>
        <v>113</v>
      </c>
      <c r="D27" s="20">
        <f>IFERROR('PL 2020-21'!B16,0)</f>
        <v>762</v>
      </c>
      <c r="E27" s="20">
        <f>IFERROR('PL 2022-23'!C16,0)</f>
        <v>1129</v>
      </c>
      <c r="F27" s="20">
        <f>IFERROR('PL 2022-23'!B16,0)</f>
        <v>1254</v>
      </c>
      <c r="G27" s="20">
        <f>IFERROR('PL 2024-25'!C16,0)</f>
        <v>1478</v>
      </c>
      <c r="H27" s="20">
        <f>IFERROR('PL 2024-25'!B16,0)</f>
        <v>2223</v>
      </c>
    </row>
    <row r="28" spans="2:10" x14ac:dyDescent="0.3">
      <c r="B28" s="23" t="s">
        <v>657</v>
      </c>
      <c r="C28" s="22">
        <f t="shared" ref="C28:H28" si="11">C27/C7</f>
        <v>2.3652537938252225E-3</v>
      </c>
      <c r="D28" s="22">
        <f t="shared" si="11"/>
        <v>1.4750861434821325E-2</v>
      </c>
      <c r="E28" s="22">
        <f t="shared" si="11"/>
        <v>1.9504526293967244E-2</v>
      </c>
      <c r="F28" s="22">
        <f t="shared" si="11"/>
        <v>1.7900987837606349E-2</v>
      </c>
      <c r="G28" s="22">
        <f t="shared" si="11"/>
        <v>2.0678558936691151E-2</v>
      </c>
      <c r="H28" s="22">
        <f t="shared" si="11"/>
        <v>3.0743486197931071E-2</v>
      </c>
      <c r="J28" s="89"/>
    </row>
    <row r="30" spans="2:10" x14ac:dyDescent="0.3">
      <c r="B30" t="s">
        <v>692</v>
      </c>
      <c r="C30" s="20">
        <f>IFERROR('PL 2020-21'!C17,0)</f>
        <v>956</v>
      </c>
      <c r="D30" s="20">
        <f>IFERROR('PL 2020-21'!B17,0)</f>
        <v>914</v>
      </c>
      <c r="E30" s="20">
        <f>IFERROR('PL 2022-23'!C17,0)</f>
        <v>990</v>
      </c>
      <c r="F30" s="20">
        <f>IFERROR('PL 2022-23'!B17,0)</f>
        <v>1151</v>
      </c>
      <c r="G30" s="20">
        <f>IFERROR('PL 2024-25'!C17,0)</f>
        <v>1830</v>
      </c>
      <c r="H30" s="20">
        <f>IFERROR('PL 2024-25'!B17,0)</f>
        <v>1311</v>
      </c>
      <c r="I30" t="s">
        <v>676</v>
      </c>
    </row>
    <row r="31" spans="2:10" x14ac:dyDescent="0.3">
      <c r="B31" s="23" t="s">
        <v>658</v>
      </c>
      <c r="C31" s="22">
        <f t="shared" ref="C31:H31" si="12">C30/C7</f>
        <v>2.0010465724751438E-2</v>
      </c>
      <c r="D31" s="22">
        <f t="shared" si="12"/>
        <v>1.7693290487436602E-2</v>
      </c>
      <c r="E31" s="22">
        <f t="shared" si="12"/>
        <v>1.7103171860963304E-2</v>
      </c>
      <c r="F31" s="22">
        <f t="shared" si="12"/>
        <v>1.6430651516016675E-2</v>
      </c>
      <c r="G31" s="22">
        <f t="shared" si="12"/>
        <v>2.5603357817418678E-2</v>
      </c>
      <c r="H31" s="22">
        <f t="shared" si="12"/>
        <v>1.8130773911600378E-2</v>
      </c>
      <c r="J31" s="20"/>
    </row>
    <row r="32" spans="2:10" x14ac:dyDescent="0.3">
      <c r="J32" s="20"/>
    </row>
    <row r="33" spans="2:10" x14ac:dyDescent="0.3">
      <c r="B33" s="24" t="s">
        <v>659</v>
      </c>
      <c r="C33" s="26">
        <f t="shared" ref="C33:H33" si="13">IFERROR(C24-SUM(C27,C30),0)</f>
        <v>10329</v>
      </c>
      <c r="D33" s="26">
        <f t="shared" si="13"/>
        <v>11265</v>
      </c>
      <c r="E33" s="26">
        <f t="shared" si="13"/>
        <v>10574</v>
      </c>
      <c r="F33" s="26">
        <f t="shared" si="13"/>
        <v>12975</v>
      </c>
      <c r="G33" s="26">
        <f t="shared" si="13"/>
        <v>16007</v>
      </c>
      <c r="H33" s="26">
        <f t="shared" si="13"/>
        <v>13006</v>
      </c>
    </row>
    <row r="34" spans="2:10" x14ac:dyDescent="0.3">
      <c r="B34" t="s">
        <v>660</v>
      </c>
      <c r="C34" s="22">
        <f t="shared" ref="C34:H34" si="14">C33/C7</f>
        <v>0.21620094191522762</v>
      </c>
      <c r="D34" s="22">
        <f t="shared" si="14"/>
        <v>0.21806883735336249</v>
      </c>
      <c r="E34" s="22">
        <f t="shared" si="14"/>
        <v>0.18267569622002625</v>
      </c>
      <c r="F34" s="22">
        <f t="shared" si="14"/>
        <v>0.18521955119054417</v>
      </c>
      <c r="G34" s="22">
        <f t="shared" si="14"/>
        <v>0.22395243091990205</v>
      </c>
      <c r="H34" s="22">
        <f t="shared" si="14"/>
        <v>0.17986944736405377</v>
      </c>
    </row>
    <row r="36" spans="2:10" x14ac:dyDescent="0.3">
      <c r="B36" t="s">
        <v>661</v>
      </c>
      <c r="C36" s="20">
        <f>IFERROR('PL 2020-21'!C24,0)</f>
        <v>2153</v>
      </c>
      <c r="D36" s="20">
        <f>IFERROR('PL 2020-21'!B24,0)</f>
        <v>2135</v>
      </c>
      <c r="E36" s="20">
        <f>IFERROR('PL 2022-23'!C24,0)</f>
        <v>2397</v>
      </c>
      <c r="F36" s="20">
        <f>IFERROR('PL 2022-23'!B24,0)</f>
        <v>2287</v>
      </c>
      <c r="G36" s="20">
        <f>IFERROR('PL 2024-25'!C24,0)</f>
        <v>3375</v>
      </c>
      <c r="H36" s="20">
        <f>IFERROR('PL 2024-25'!B24,0)</f>
        <v>3230</v>
      </c>
    </row>
    <row r="37" spans="2:10" x14ac:dyDescent="0.3">
      <c r="B37" s="27" t="s">
        <v>662</v>
      </c>
      <c r="C37" s="22">
        <f t="shared" ref="C37:H37" si="15">C36/C33</f>
        <v>0.2084422499757963</v>
      </c>
      <c r="D37" s="22">
        <f t="shared" si="15"/>
        <v>0.18952507767421217</v>
      </c>
      <c r="E37" s="22">
        <f t="shared" si="15"/>
        <v>0.22668810289389069</v>
      </c>
      <c r="F37" s="22">
        <f t="shared" si="15"/>
        <v>0.17626204238921003</v>
      </c>
      <c r="G37" s="22">
        <f t="shared" si="15"/>
        <v>0.21084525520084962</v>
      </c>
      <c r="H37" s="22">
        <f t="shared" si="15"/>
        <v>0.24834691680762724</v>
      </c>
    </row>
    <row r="39" spans="2:10" x14ac:dyDescent="0.3">
      <c r="B39" s="24" t="s">
        <v>663</v>
      </c>
      <c r="C39" s="26">
        <f>IFERROR(C33-C36,0)</f>
        <v>8176</v>
      </c>
      <c r="D39" s="26">
        <f>IFERROR(D33-D36,0)</f>
        <v>9130</v>
      </c>
      <c r="E39" s="26">
        <f t="shared" ref="E39:H39" si="16">IFERROR(E33-E36,0)</f>
        <v>8177</v>
      </c>
      <c r="F39" s="26">
        <f>IFERROR(F33-F36,0)</f>
        <v>10688</v>
      </c>
      <c r="G39" s="26">
        <f t="shared" si="16"/>
        <v>12632</v>
      </c>
      <c r="H39" s="26">
        <f t="shared" si="16"/>
        <v>9776</v>
      </c>
    </row>
    <row r="40" spans="2:10" x14ac:dyDescent="0.3">
      <c r="B40" t="s">
        <v>664</v>
      </c>
      <c r="D40" s="28">
        <f>D39/D7</f>
        <v>0.17673932401564132</v>
      </c>
      <c r="E40" s="28">
        <f>E39/E7</f>
        <v>0.14126528919908782</v>
      </c>
      <c r="F40" s="28">
        <f>F39/F7</f>
        <v>0.15257237480728603</v>
      </c>
      <c r="G40" s="28">
        <f>G39/G7</f>
        <v>0.17673312346974468</v>
      </c>
      <c r="H40" s="28">
        <f>H39/H7</f>
        <v>0.13519942468329921</v>
      </c>
    </row>
    <row r="41" spans="2:10" x14ac:dyDescent="0.3">
      <c r="C41" s="28">
        <f>C39/C7</f>
        <v>0.17113553113553115</v>
      </c>
    </row>
    <row r="42" spans="2:10" x14ac:dyDescent="0.3">
      <c r="B42" t="s">
        <v>665</v>
      </c>
      <c r="C42" s="20">
        <v>483.66199999999998</v>
      </c>
      <c r="D42" s="20">
        <v>483.66199999999998</v>
      </c>
      <c r="E42" s="20">
        <v>483.66199999999998</v>
      </c>
      <c r="F42" s="20">
        <v>483.66199999999998</v>
      </c>
      <c r="G42" s="20">
        <v>483.66199999999998</v>
      </c>
      <c r="H42" s="20">
        <v>483.66199999999998</v>
      </c>
    </row>
    <row r="44" spans="2:10" x14ac:dyDescent="0.3">
      <c r="B44" t="s">
        <v>666</v>
      </c>
      <c r="C44" s="20">
        <f>IFERROR(C39/C42,0)</f>
        <v>16.904367099337968</v>
      </c>
      <c r="D44" s="20">
        <f t="shared" ref="D44:H44" si="17">IFERROR(D39/D42,0)</f>
        <v>18.876818935537628</v>
      </c>
      <c r="E44" s="20">
        <f t="shared" si="17"/>
        <v>16.906434658914698</v>
      </c>
      <c r="F44" s="20">
        <f t="shared" si="17"/>
        <v>22.098076756081728</v>
      </c>
      <c r="G44" s="20">
        <f t="shared" si="17"/>
        <v>26.1174125732433</v>
      </c>
      <c r="H44" s="20">
        <f t="shared" si="17"/>
        <v>20.212462422104693</v>
      </c>
    </row>
    <row r="45" spans="2:10" x14ac:dyDescent="0.3">
      <c r="B45" s="27" t="s">
        <v>667</v>
      </c>
      <c r="C45" s="29">
        <f>IFERROR(C44/#REF!-1,0)</f>
        <v>0</v>
      </c>
      <c r="D45" s="29">
        <f t="shared" ref="D45:H45" si="18">IFERROR(D44/C44-1,0)</f>
        <v>0.1166829745596869</v>
      </c>
      <c r="E45" s="29">
        <f t="shared" si="18"/>
        <v>-0.10438116100766703</v>
      </c>
      <c r="F45" s="29">
        <f t="shared" si="18"/>
        <v>0.30708083649260121</v>
      </c>
      <c r="G45" s="29">
        <f t="shared" si="18"/>
        <v>0.18188622754491024</v>
      </c>
      <c r="H45" s="29">
        <f t="shared" si="18"/>
        <v>-0.22609246358454727</v>
      </c>
      <c r="I45" s="29" t="s">
        <v>676</v>
      </c>
    </row>
    <row r="47" spans="2:10" ht="15" x14ac:dyDescent="0.35">
      <c r="B47" t="s">
        <v>668</v>
      </c>
      <c r="C47" s="20">
        <v>1</v>
      </c>
      <c r="D47" s="20">
        <v>1</v>
      </c>
      <c r="E47" s="20">
        <v>6</v>
      </c>
      <c r="F47" s="20">
        <v>1</v>
      </c>
      <c r="G47" s="20">
        <v>1</v>
      </c>
      <c r="H47" s="20">
        <v>11</v>
      </c>
      <c r="J47" s="81" t="s">
        <v>777</v>
      </c>
    </row>
    <row r="48" spans="2:10" x14ac:dyDescent="0.3">
      <c r="B48" s="27" t="s">
        <v>669</v>
      </c>
      <c r="C48" s="30">
        <f t="shared" ref="C48:H48" si="19">IFERROR(C47/C44,0)</f>
        <v>5.9156311154598823E-2</v>
      </c>
      <c r="D48" s="30">
        <f t="shared" si="19"/>
        <v>5.2975027382256297E-2</v>
      </c>
      <c r="E48" s="30">
        <f t="shared" si="19"/>
        <v>0.35489446007093062</v>
      </c>
      <c r="F48" s="30">
        <f t="shared" si="19"/>
        <v>4.5252806886227542E-2</v>
      </c>
      <c r="G48" s="30">
        <f t="shared" si="19"/>
        <v>3.8288632045598479E-2</v>
      </c>
      <c r="H48" s="30">
        <f t="shared" si="19"/>
        <v>0.54421869885433716</v>
      </c>
    </row>
    <row r="50" spans="2:10" x14ac:dyDescent="0.3">
      <c r="B50" t="s">
        <v>670</v>
      </c>
      <c r="C50" s="29">
        <f t="shared" ref="C50:H50" si="20">IFERROR(IF(C44&gt;C47,1-C48,0),0)</f>
        <v>0.94084368884540115</v>
      </c>
      <c r="D50" s="29">
        <f t="shared" si="20"/>
        <v>0.94702497261774365</v>
      </c>
      <c r="E50" s="29">
        <f t="shared" si="20"/>
        <v>0.64510553992906938</v>
      </c>
      <c r="F50" s="29">
        <f t="shared" si="20"/>
        <v>0.95474719311377243</v>
      </c>
      <c r="G50" s="29">
        <f t="shared" si="20"/>
        <v>0.96171136795440149</v>
      </c>
      <c r="H50" s="29">
        <f t="shared" si="20"/>
        <v>0.45578130114566284</v>
      </c>
    </row>
    <row r="52" spans="2:10" x14ac:dyDescent="0.3">
      <c r="B52" s="17" t="s">
        <v>31</v>
      </c>
      <c r="C52" s="17"/>
      <c r="D52" s="17"/>
      <c r="E52" s="17"/>
      <c r="F52" s="17"/>
      <c r="G52" s="17"/>
      <c r="H52" s="17"/>
    </row>
    <row r="54" spans="2:10" x14ac:dyDescent="0.3">
      <c r="B54" s="31" t="s">
        <v>671</v>
      </c>
      <c r="C54" s="20">
        <f>IFERROR(SUM('BS 2020-21'!C33),0)</f>
        <v>4837</v>
      </c>
      <c r="D54" s="20">
        <f>IFERROR(SUM('BS 2020-21'!B33),0)</f>
        <v>4837</v>
      </c>
      <c r="E54" s="20">
        <f>IFERROR('BS 2022-23'!C36,0)</f>
        <v>4837</v>
      </c>
      <c r="F54" s="20">
        <f>IFERROR('BS 2022-23'!B36,0)</f>
        <v>4837</v>
      </c>
      <c r="G54" s="20">
        <f>IFERROR('BS 2024-25'!C37,0)</f>
        <v>4837</v>
      </c>
      <c r="H54" s="20">
        <f>IFERROR('BS 2024-25'!B37,0)</f>
        <v>4837</v>
      </c>
    </row>
    <row r="55" spans="2:10" x14ac:dyDescent="0.3">
      <c r="B55" s="31" t="s">
        <v>672</v>
      </c>
      <c r="C55" s="20">
        <f>IFERROR(SUM('BS 2020-21'!C34),0)</f>
        <v>78152</v>
      </c>
      <c r="D55" s="20">
        <f>IFERROR(SUM('BS 2020-21'!B34),0)</f>
        <v>87753</v>
      </c>
      <c r="E55" s="20">
        <f>IFERROR('BS 2022-23'!C37,0)</f>
        <v>96046</v>
      </c>
      <c r="F55" s="20">
        <f>IFERROR('BS 2022-23'!B37,0)</f>
        <v>106557</v>
      </c>
      <c r="G55" s="20">
        <f>IFERROR('BS 2024-25'!C38,0)</f>
        <v>119159</v>
      </c>
      <c r="H55" s="20">
        <f>IFERROR('BS 2024-25'!B38,0)</f>
        <v>128849</v>
      </c>
      <c r="J55" s="20"/>
    </row>
    <row r="56" spans="2:10" x14ac:dyDescent="0.3">
      <c r="B56" s="31" t="s">
        <v>673</v>
      </c>
      <c r="C56" s="20">
        <f>IFERROR('BS 2020-21'!C37,0)</f>
        <v>1192</v>
      </c>
      <c r="D56" s="20">
        <f>IFERROR('BS 2020-21'!B37,0)</f>
        <v>17375</v>
      </c>
      <c r="E56" s="20">
        <f>IFERROR('BS 2022-23'!C40,0)</f>
        <v>18967</v>
      </c>
      <c r="F56" s="20">
        <f>IFERROR('BS 2022-23'!B40,0)</f>
        <v>14985</v>
      </c>
      <c r="G56" s="20">
        <f>IFERROR('BS 2024-25'!C41,0)</f>
        <v>11967</v>
      </c>
      <c r="H56" s="20">
        <f>IFERROR('BS 2024-25'!B41,0)</f>
        <v>21551</v>
      </c>
      <c r="J56" s="20" t="s">
        <v>676</v>
      </c>
    </row>
    <row r="57" spans="2:10" x14ac:dyDescent="0.3">
      <c r="B57" s="31" t="s">
        <v>695</v>
      </c>
      <c r="C57" s="20">
        <f>IFERROR(SUM('BS 2020-21'!C38:C41),0)</f>
        <v>1565</v>
      </c>
      <c r="D57" s="20">
        <f>IFERROR(SUM('BS 2020-21'!B38:B41),0)</f>
        <v>2677</v>
      </c>
      <c r="E57" s="20">
        <f>IFERROR(SUM('BS 2022-23'!C41:C44),0)</f>
        <v>1739</v>
      </c>
      <c r="F57" s="20">
        <f>IFERROR(SUM('BS 2022-23'!B41:B44),0)</f>
        <v>2621</v>
      </c>
      <c r="G57" s="20">
        <f>IFERROR(SUM('BS 2024-25'!C42:C45),0)</f>
        <v>3274</v>
      </c>
      <c r="H57" s="20">
        <f>IFERROR(SUM('BS 2024-25'!B42:B45),0)</f>
        <v>1931</v>
      </c>
      <c r="I57" s="78"/>
    </row>
    <row r="58" spans="2:10" x14ac:dyDescent="0.3">
      <c r="B58" s="31" t="s">
        <v>693</v>
      </c>
      <c r="C58" s="20">
        <f>IFERROR(SUM('BS 2020-21'!C44,'BS 2020-21'!C49),0)</f>
        <v>1555</v>
      </c>
      <c r="D58" s="20">
        <f>IFERROR(SUM('BS 2020-21'!B44,'BS 2020-21'!B49),0)</f>
        <v>2230</v>
      </c>
      <c r="E58" s="20">
        <f>IFERROR(SUM('BS 2022-23'!C47),0)</f>
        <v>2862</v>
      </c>
      <c r="F58" s="20">
        <f>IFERROR(SUM('BS 2022-23'!B47),0)</f>
        <v>9850</v>
      </c>
      <c r="G58" s="20">
        <f>IFERROR(SUM('BS 2024-25'!C48,),0)</f>
        <v>11032</v>
      </c>
      <c r="H58" s="20">
        <f>IFERROR(SUM('BS 2024-25'!B48),0)</f>
        <v>16419</v>
      </c>
    </row>
    <row r="59" spans="2:10" x14ac:dyDescent="0.3">
      <c r="B59" s="31" t="s">
        <v>687</v>
      </c>
      <c r="C59" s="20">
        <f>IFERROR(SUM('BS 2020-21'!C47:C48),0)</f>
        <v>8909</v>
      </c>
      <c r="D59" s="20">
        <f>IFERROR(SUM('BS 2020-21'!B47:B48),0)</f>
        <v>11208</v>
      </c>
      <c r="E59" s="20">
        <f>IFERROR(SUM('BS 2022-23'!C50:C51),0)</f>
        <v>10978</v>
      </c>
      <c r="F59" s="20">
        <f>IFERROR(SUM('BS 2022-23'!B50:B51),0)</f>
        <v>12275</v>
      </c>
      <c r="G59" s="20">
        <f>IFERROR(SUM('BS 2024-25'!C51:C52),0)</f>
        <v>11103</v>
      </c>
      <c r="H59" s="20">
        <f>IFERROR(SUM('BS 2024-25'!B51:B52),0)</f>
        <v>9311</v>
      </c>
    </row>
    <row r="60" spans="2:10" x14ac:dyDescent="0.3">
      <c r="B60" s="31" t="s">
        <v>694</v>
      </c>
      <c r="C60" s="20">
        <f>IFERROR(SUM('BS 2020-21'!C45:C46,'BS 2020-21'!C50:C53),0)</f>
        <v>2111</v>
      </c>
      <c r="D60" s="20">
        <f>IFERROR(SUM('BS 2020-21'!B45:B46,'BS 2020-21'!B50:B53),0)</f>
        <v>2960</v>
      </c>
      <c r="E60" s="20">
        <f>IFERROR(SUM('BS 2022-23'!C48:C49,'BS 2022-23'!C52:C55),0)</f>
        <v>4875</v>
      </c>
      <c r="F60" s="20">
        <f>IFERROR(SUM('BS 2022-23'!B48:B49,'BS 2022-23'!B52:B55),0)</f>
        <v>4716</v>
      </c>
      <c r="G60" s="20">
        <f>IFERROR(SUM('BS 2024-25'!C49:C50,'BS 2024-25'!C53:C56),0)</f>
        <v>4769</v>
      </c>
      <c r="H60" s="20">
        <f>IFERROR(SUM('BS 2024-25'!B49:B50,'BS 2024-25'!B53:B56),0)</f>
        <v>6743</v>
      </c>
    </row>
    <row r="61" spans="2:10" x14ac:dyDescent="0.3">
      <c r="B61" s="32" t="s">
        <v>674</v>
      </c>
      <c r="C61" s="33">
        <f>IFERROR(SUM(C54:C60),0)</f>
        <v>98321</v>
      </c>
      <c r="D61" s="33">
        <f>IFERROR(SUM(D54:D60),0)</f>
        <v>129040</v>
      </c>
      <c r="E61" s="33">
        <f t="shared" ref="E61:H61" si="21">IFERROR(SUM(E54:E60),0)</f>
        <v>140304</v>
      </c>
      <c r="F61" s="33">
        <f t="shared" si="21"/>
        <v>155841</v>
      </c>
      <c r="G61" s="33">
        <f t="shared" si="21"/>
        <v>166141</v>
      </c>
      <c r="H61" s="33">
        <f t="shared" si="21"/>
        <v>189641</v>
      </c>
      <c r="J61" t="s">
        <v>676</v>
      </c>
    </row>
    <row r="62" spans="2:10" x14ac:dyDescent="0.3">
      <c r="B62" s="32"/>
      <c r="C62" s="20"/>
      <c r="D62" s="20"/>
      <c r="E62" s="20"/>
      <c r="F62" s="20"/>
      <c r="G62" s="20"/>
      <c r="H62" s="20"/>
      <c r="J62" s="20"/>
    </row>
    <row r="63" spans="2:10" x14ac:dyDescent="0.3">
      <c r="B63" s="31" t="s">
        <v>675</v>
      </c>
      <c r="C63" s="20">
        <f>IFERROR(SUM('BS 2020-21'!C9),0)</f>
        <v>6866</v>
      </c>
      <c r="D63" s="20">
        <f>IFERROR(SUM('BS 2020-21'!B9),0)</f>
        <v>6172</v>
      </c>
      <c r="E63" s="20">
        <f>IFERROR(SUM('BS 2022-23'!C9),0)</f>
        <v>8897</v>
      </c>
      <c r="F63" s="20">
        <f>IFERROR(SUM('BS 2022-23'!B9,),0)</f>
        <v>9793</v>
      </c>
      <c r="G63" s="20">
        <f>IFERROR(SUM('BS 2024-25'!C9),0)</f>
        <v>9724</v>
      </c>
      <c r="H63" s="20">
        <f>IFERROR(SUM('BS 2024-25'!B9),0)</f>
        <v>9605</v>
      </c>
      <c r="I63" t="s">
        <v>676</v>
      </c>
      <c r="J63" s="20"/>
    </row>
    <row r="64" spans="2:10" x14ac:dyDescent="0.3">
      <c r="B64" s="31" t="s">
        <v>677</v>
      </c>
      <c r="C64" s="20">
        <f>IFERROR('BS 2020-21'!C10,0)</f>
        <v>578</v>
      </c>
      <c r="D64" s="20">
        <f>IFERROR('BS 2020-21'!B10,0)</f>
        <v>984</v>
      </c>
      <c r="E64" s="20">
        <f>IFERROR('BS 2022-23'!C10,0)</f>
        <v>1200</v>
      </c>
      <c r="F64" s="20">
        <f>IFERROR('BS 2022-23'!B10,0)</f>
        <v>304</v>
      </c>
      <c r="G64" s="20">
        <f>IFERROR(SUM('BS 2024-25'!C10:C11),0)</f>
        <v>281</v>
      </c>
      <c r="H64" s="20">
        <f>IFERROR(SUM('BS 2024-25'!B10:B11),0)</f>
        <v>189</v>
      </c>
      <c r="J64" s="20"/>
    </row>
    <row r="65" spans="2:9" x14ac:dyDescent="0.3">
      <c r="B65" s="31" t="s">
        <v>678</v>
      </c>
      <c r="C65" s="20">
        <f>IFERROR('BS 2020-21'!C14,0)</f>
        <v>24560</v>
      </c>
      <c r="D65" s="20">
        <f>IFERROR('BS 2020-21'!B14,0)</f>
        <v>30726</v>
      </c>
      <c r="E65" s="20">
        <f>IFERROR('BS 2022-23'!C14,0)</f>
        <v>32785</v>
      </c>
      <c r="F65" s="20">
        <f>IFERROR('BS 2022-23'!B14,0)</f>
        <v>33415</v>
      </c>
      <c r="G65" s="20">
        <f>IFERROR('BS 2024-25'!C15,0)</f>
        <v>33176</v>
      </c>
      <c r="H65" s="20">
        <f>IFERROR('BS 2024-25'!B15,0)</f>
        <v>58943</v>
      </c>
    </row>
    <row r="66" spans="2:9" x14ac:dyDescent="0.3">
      <c r="B66" s="31" t="s">
        <v>696</v>
      </c>
      <c r="C66" s="20">
        <f>IFERROR(SUM('BS 2020-21'!C11:C13,'BS 2020-21'!C15:C17),0)</f>
        <v>2839</v>
      </c>
      <c r="D66" s="20">
        <f>IFERROR(SUM('BS 2020-21'!B11:B13,'BS 2020-21'!B15:B17),0)</f>
        <v>19225</v>
      </c>
      <c r="E66" s="20">
        <f>IFERROR(SUM('BS 2022-23'!C11:C13,'BS 2022-23'!C15:C20),0)</f>
        <v>21525</v>
      </c>
      <c r="F66" s="20">
        <f>IFERROR(SUM('BS 2022-23'!B11:B13,'BS 2022-23'!B15:B20),0)</f>
        <v>19592</v>
      </c>
      <c r="G66" s="20">
        <f>IFERROR(SUM('BS 2024-25'!C16:C21,'BS 2024-25'!C12:C14),0)</f>
        <v>26405</v>
      </c>
      <c r="H66" s="20">
        <f>IFERROR(SUM('BS 2024-25'!B12:B14,'BS 2024-25'!B16:B21),0)</f>
        <v>25292</v>
      </c>
    </row>
    <row r="67" spans="2:9" x14ac:dyDescent="0.3">
      <c r="B67" s="32" t="s">
        <v>679</v>
      </c>
      <c r="C67" s="33">
        <f t="shared" ref="C67:H67" si="22">IFERROR(SUM(C63:C66),0)</f>
        <v>34843</v>
      </c>
      <c r="D67" s="33">
        <f t="shared" si="22"/>
        <v>57107</v>
      </c>
      <c r="E67" s="33">
        <f t="shared" si="22"/>
        <v>64407</v>
      </c>
      <c r="F67" s="33">
        <f t="shared" si="22"/>
        <v>63104</v>
      </c>
      <c r="G67" s="33">
        <f t="shared" si="22"/>
        <v>69586</v>
      </c>
      <c r="H67" s="33">
        <f t="shared" si="22"/>
        <v>94029</v>
      </c>
    </row>
    <row r="68" spans="2:9" x14ac:dyDescent="0.3">
      <c r="B68" s="32"/>
      <c r="C68" s="33"/>
      <c r="D68" s="33"/>
      <c r="E68" s="33"/>
      <c r="F68" s="33"/>
      <c r="G68" s="33"/>
      <c r="H68" s="33"/>
    </row>
    <row r="69" spans="2:9" x14ac:dyDescent="0.3">
      <c r="B69" s="31" t="s">
        <v>680</v>
      </c>
      <c r="C69" s="20">
        <f>IFERROR('BS 2020-21'!C22,0)</f>
        <v>4309</v>
      </c>
      <c r="D69" s="20">
        <f>IFERROR('BS 2020-21'!B22,0)</f>
        <v>7451</v>
      </c>
      <c r="E69" s="20">
        <f>IFERROR('BS 2022-23'!C25,0)</f>
        <v>5784</v>
      </c>
      <c r="F69" s="20">
        <f>IFERROR('BS 2022-23'!B25,0)</f>
        <v>6799</v>
      </c>
      <c r="G69" s="20">
        <f>IFERROR('BS 2024-25'!C26,0)</f>
        <v>7345</v>
      </c>
      <c r="H69" s="20">
        <f>IFERROR('BS 2024-25'!B26,0)</f>
        <v>5932</v>
      </c>
    </row>
    <row r="70" spans="2:9" x14ac:dyDescent="0.3">
      <c r="B70" s="31" t="s">
        <v>681</v>
      </c>
      <c r="C70" s="20">
        <f>IFERROR('BS 2020-21'!C20,0)</f>
        <v>5846</v>
      </c>
      <c r="D70" s="20">
        <f>IFERROR('BS 2020-21'!B20,0)</f>
        <v>5778</v>
      </c>
      <c r="E70" s="20">
        <f>IFERROR('BS 2022-23'!C23,0)</f>
        <v>8616</v>
      </c>
      <c r="F70" s="20">
        <f>IFERROR('BS 2022-23'!B23,0)</f>
        <v>8069</v>
      </c>
      <c r="G70" s="20">
        <f>IFERROR('BS 2024-25'!C24,0)</f>
        <v>6402</v>
      </c>
      <c r="H70" s="20">
        <f>IFERROR('BS 2024-25'!B24,0)</f>
        <v>7119</v>
      </c>
    </row>
    <row r="71" spans="2:9" x14ac:dyDescent="0.3">
      <c r="B71" s="31" t="s">
        <v>697</v>
      </c>
      <c r="C71" s="20">
        <f>IFERROR(SUM('BS 2020-21'!C23,'BS 2020-21'!C25:C28),0)</f>
        <v>4735</v>
      </c>
      <c r="D71" s="20">
        <f>IFERROR(SUM('BS 2020-21'!B23,'BS 2020-21'!B25:B28),0)</f>
        <v>7863</v>
      </c>
      <c r="E71" s="20">
        <f>IFERROR(SUM('BS 2022-23'!C26,'BS 2022-23'!C28:C31),0)</f>
        <v>3783</v>
      </c>
      <c r="F71" s="20">
        <f>IFERROR(SUM('BS 2022-23'!B26,'BS 2022-23'!B28:B31),0)</f>
        <v>9158</v>
      </c>
      <c r="G71" s="20">
        <f>IFERROR(SUM('BS 2024-25'!C27,'BS 2024-25'!C29:C32),0)</f>
        <v>6167</v>
      </c>
      <c r="H71" s="20">
        <f>IFERROR(SUM('BS 2024-25'!B27,'BS 2024-25'!B29:B32),0)</f>
        <v>8658</v>
      </c>
    </row>
    <row r="72" spans="2:9" x14ac:dyDescent="0.3">
      <c r="B72" s="31" t="s">
        <v>698</v>
      </c>
      <c r="C72" s="20">
        <f>IFERROR('BS 2020-21'!C21,0)</f>
        <v>47238</v>
      </c>
      <c r="D72" s="20">
        <f>IFERROR('BS 2020-21'!B21,0)</f>
        <v>49294</v>
      </c>
      <c r="E72" s="20">
        <f>IFERROR('BS 2022-23'!C24,0)</f>
        <v>54972</v>
      </c>
      <c r="F72" s="20">
        <f>IFERROR('BS 2022-23'!B24,0)</f>
        <v>67114</v>
      </c>
      <c r="G72" s="20">
        <f>IFERROR('BS 2024-25'!C25,0)</f>
        <v>73332</v>
      </c>
      <c r="H72" s="20">
        <f>IFERROR('BS 2024-25'!B25,0)</f>
        <v>70625</v>
      </c>
    </row>
    <row r="73" spans="2:9" x14ac:dyDescent="0.3">
      <c r="B73" s="34" t="s">
        <v>682</v>
      </c>
      <c r="C73" s="20">
        <f>IFERROR('BS 2020-21'!C24,0)</f>
        <v>1350</v>
      </c>
      <c r="D73" s="20">
        <f>IFERROR('BS 2020-21'!B24,0)</f>
        <v>1547</v>
      </c>
      <c r="E73" s="20">
        <f>IFERROR('BS 2022-23'!C27,0)</f>
        <v>2742</v>
      </c>
      <c r="F73" s="20">
        <f>IFERROR('BS 2022-23'!B27,0)</f>
        <v>1597</v>
      </c>
      <c r="G73" s="20">
        <f>IFERROR('BS 2024-25'!C28,0)</f>
        <v>3309</v>
      </c>
      <c r="H73" s="20">
        <f>IFERROR('BS 2024-25'!B28,0)</f>
        <v>3278</v>
      </c>
    </row>
    <row r="74" spans="2:9" x14ac:dyDescent="0.3">
      <c r="B74" s="32" t="s">
        <v>683</v>
      </c>
      <c r="C74" s="33">
        <f t="shared" ref="C74:H74" si="23">SUM(C69:C73)</f>
        <v>63478</v>
      </c>
      <c r="D74" s="33">
        <f t="shared" si="23"/>
        <v>71933</v>
      </c>
      <c r="E74" s="33">
        <f t="shared" si="23"/>
        <v>75897</v>
      </c>
      <c r="F74" s="33">
        <f t="shared" si="23"/>
        <v>92737</v>
      </c>
      <c r="G74" s="33">
        <f t="shared" si="23"/>
        <v>96555</v>
      </c>
      <c r="H74" s="33">
        <f t="shared" si="23"/>
        <v>95612</v>
      </c>
      <c r="I74" s="20" t="s">
        <v>676</v>
      </c>
    </row>
    <row r="76" spans="2:9" x14ac:dyDescent="0.3">
      <c r="B76" s="32" t="s">
        <v>684</v>
      </c>
      <c r="C76" s="33">
        <f t="shared" ref="C76:H76" si="24">IFERROR(SUM(C74,C67),0)</f>
        <v>98321</v>
      </c>
      <c r="D76" s="33">
        <f t="shared" si="24"/>
        <v>129040</v>
      </c>
      <c r="E76" s="33">
        <f t="shared" si="24"/>
        <v>140304</v>
      </c>
      <c r="F76" s="33">
        <f t="shared" si="24"/>
        <v>155841</v>
      </c>
      <c r="G76" s="33">
        <f t="shared" si="24"/>
        <v>166141</v>
      </c>
      <c r="H76" s="33">
        <f t="shared" si="24"/>
        <v>189641</v>
      </c>
    </row>
    <row r="78" spans="2:9" x14ac:dyDescent="0.3">
      <c r="B78" s="35" t="s">
        <v>685</v>
      </c>
      <c r="C78" t="b">
        <f t="shared" ref="C78:H78" si="25">C76=C61</f>
        <v>1</v>
      </c>
      <c r="D78" t="b">
        <f t="shared" si="25"/>
        <v>1</v>
      </c>
      <c r="E78" t="b">
        <f t="shared" si="25"/>
        <v>1</v>
      </c>
      <c r="F78" t="b">
        <f t="shared" si="25"/>
        <v>1</v>
      </c>
      <c r="G78" t="b">
        <f t="shared" si="25"/>
        <v>1</v>
      </c>
      <c r="H78" t="b">
        <f t="shared" si="25"/>
        <v>1</v>
      </c>
    </row>
    <row r="80" spans="2:9" x14ac:dyDescent="0.3">
      <c r="B80" s="16" t="s">
        <v>686</v>
      </c>
      <c r="C80" s="17"/>
      <c r="D80" s="17"/>
      <c r="E80" s="17"/>
      <c r="F80" s="17"/>
      <c r="G80" s="17"/>
      <c r="H80" s="17"/>
    </row>
    <row r="81" spans="2:8" x14ac:dyDescent="0.3">
      <c r="B81" s="2" t="s">
        <v>34</v>
      </c>
    </row>
    <row r="82" spans="2:8" x14ac:dyDescent="0.3">
      <c r="B82" s="2" t="s">
        <v>111</v>
      </c>
      <c r="C82" s="20" t="s">
        <v>676</v>
      </c>
      <c r="D82" s="20" t="s">
        <v>676</v>
      </c>
      <c r="E82" s="20" t="s">
        <v>676</v>
      </c>
      <c r="F82" s="20" t="s">
        <v>676</v>
      </c>
      <c r="G82" s="20" t="s">
        <v>676</v>
      </c>
      <c r="H82" s="20" t="s">
        <v>676</v>
      </c>
    </row>
    <row r="83" spans="2:8" x14ac:dyDescent="0.3">
      <c r="B83" t="s">
        <v>701</v>
      </c>
      <c r="C83" s="20">
        <f>IFERROR(SUM('CF 2020-21'!C8:C17),0)</f>
        <v>6900</v>
      </c>
      <c r="D83" s="20">
        <f>IFERROR(SUM('CF 2020-21'!B8:B17),0)</f>
        <v>6389</v>
      </c>
      <c r="E83" s="20">
        <f>IFERROR(SUM('CF 2022-23'!C8:C16),0)</f>
        <v>7393</v>
      </c>
      <c r="F83" s="20">
        <f>IFERROR(SUM('CF 2022-23'!B8:B16),0)</f>
        <v>8492</v>
      </c>
      <c r="G83" s="20">
        <f>IFERROR(SUM('CF 2024-25'!C8:C18,),0)</f>
        <v>10345</v>
      </c>
      <c r="H83" s="20">
        <f>IFERROR(SUM('CF 2024-25'!B8:B18,),0)</f>
        <v>8661</v>
      </c>
    </row>
    <row r="84" spans="2:8" x14ac:dyDescent="0.3">
      <c r="B84" t="s">
        <v>702</v>
      </c>
      <c r="C84" s="20">
        <f>IFERROR('CF 2020-21'!C18,0)</f>
        <v>1351</v>
      </c>
      <c r="D84" s="20">
        <f>IFERROR('CF 2020-21'!B18,0)</f>
        <v>-3137</v>
      </c>
      <c r="E84" s="36">
        <f>IFERROR('CF 2022-23'!C17,0)</f>
        <v>1181</v>
      </c>
      <c r="F84" s="36">
        <f>IFERROR('CF 2022-23'!B17,0)</f>
        <v>-595</v>
      </c>
      <c r="G84" s="36">
        <f>IFERROR('CF 2024-25'!C19,0)</f>
        <v>-439</v>
      </c>
      <c r="H84" s="36">
        <f>IFERROR('CF 2024-25'!B19,0)</f>
        <v>764</v>
      </c>
    </row>
    <row r="85" spans="2:8" x14ac:dyDescent="0.3">
      <c r="B85" t="s">
        <v>703</v>
      </c>
      <c r="C85" s="20">
        <f>IFERROR('CF 2020-21'!C20,0)</f>
        <v>386</v>
      </c>
      <c r="D85" s="20">
        <f>IFERROR('CF 2020-21'!B20,0)</f>
        <v>68</v>
      </c>
      <c r="E85" s="36">
        <f>IFERROR('CF 2022-23'!C19,0)</f>
        <v>-2720</v>
      </c>
      <c r="F85" s="36">
        <f>IFERROR('CF 2022-23'!B19,0)</f>
        <v>547</v>
      </c>
      <c r="G85" s="36">
        <f>IFERROR('CF 2024-25'!C21,0)</f>
        <v>1667</v>
      </c>
      <c r="H85" s="36">
        <f>IFERROR('CF 2024-25'!B21,0)</f>
        <v>-717</v>
      </c>
    </row>
    <row r="86" spans="2:8" x14ac:dyDescent="0.3">
      <c r="B86" t="s">
        <v>704</v>
      </c>
      <c r="C86" s="20">
        <f>IFERROR(SUM('CF 2020-21'!C19,'CF 2020-21'!C21),0)</f>
        <v>-3066</v>
      </c>
      <c r="D86" s="20">
        <f>IFERROR(SUM('CF 2020-21'!B19,'CF 2020-21'!B21),0)</f>
        <v>3048</v>
      </c>
      <c r="E86" s="36">
        <f>IFERROR(SUM('CF 2022-23'!C20,'CF 2022-23'!C18),0)</f>
        <v>-645</v>
      </c>
      <c r="F86" s="36">
        <f>IFERROR(SUM('CF 2022-23'!B20,'CF 2022-23'!B18),0)</f>
        <v>943</v>
      </c>
      <c r="G86" s="36">
        <f>IFERROR(SUM('CF 2024-25'!C20,'CF 2024-25'!C22),0)</f>
        <v>-65</v>
      </c>
      <c r="H86" s="36">
        <f>IFERROR(SUM('CF 2024-25'!B20,'CF 2024-25'!B22),0)</f>
        <v>-1161</v>
      </c>
    </row>
    <row r="87" spans="2:8" x14ac:dyDescent="0.3">
      <c r="B87" t="s">
        <v>126</v>
      </c>
      <c r="C87" s="36">
        <f>IFERROR('CF 2020-21'!C23,0)</f>
        <v>-1843</v>
      </c>
      <c r="D87" s="36">
        <f>IFERROR('CF 2020-21'!B23,0)</f>
        <v>-1698</v>
      </c>
      <c r="E87" s="36">
        <f>IFERROR('CF 2022-23'!C22,0)</f>
        <v>-2088</v>
      </c>
      <c r="F87" s="36">
        <f>IFERROR('CF 2022-23'!B22,0)</f>
        <v>-2513</v>
      </c>
      <c r="G87" s="36">
        <f>IFERROR('CF 2024-25'!C24,0)</f>
        <v>-2887</v>
      </c>
      <c r="H87" s="36">
        <f>IFERROR('CF 2024-25'!B24,0)</f>
        <v>-2989</v>
      </c>
    </row>
    <row r="88" spans="2:8" x14ac:dyDescent="0.3">
      <c r="B88" s="41" t="s">
        <v>127</v>
      </c>
      <c r="C88" s="25">
        <f>IFERROR(SUM(C83:C87),0)</f>
        <v>3728</v>
      </c>
      <c r="D88" s="25">
        <f>IFERROR(SUM(D83:D87),0)</f>
        <v>4670</v>
      </c>
      <c r="E88" s="25">
        <f t="shared" ref="E88:G88" si="26">IFERROR(SUM(E83:E87),0)</f>
        <v>3121</v>
      </c>
      <c r="F88" s="25">
        <f t="shared" si="26"/>
        <v>6874</v>
      </c>
      <c r="G88" s="25">
        <f t="shared" si="26"/>
        <v>8621</v>
      </c>
      <c r="H88" s="25">
        <f>IFERROR(SUM(H83:H87),0)</f>
        <v>4558</v>
      </c>
    </row>
    <row r="89" spans="2:8" x14ac:dyDescent="0.3">
      <c r="B89" s="2" t="s">
        <v>128</v>
      </c>
      <c r="C89" s="36"/>
      <c r="D89" s="36"/>
      <c r="E89" s="36" t="s">
        <v>676</v>
      </c>
      <c r="F89" s="36" t="s">
        <v>676</v>
      </c>
      <c r="G89" s="36" t="s">
        <v>676</v>
      </c>
      <c r="H89" s="36" t="s">
        <v>676</v>
      </c>
    </row>
    <row r="90" spans="2:8" x14ac:dyDescent="0.3">
      <c r="B90" t="s">
        <v>705</v>
      </c>
      <c r="C90" s="36">
        <f>IFERROR('CF 2020-21'!C26,0)</f>
        <v>-851</v>
      </c>
      <c r="D90" s="36">
        <f>IFERROR('CF 2020-21'!B26,0)</f>
        <v>-511</v>
      </c>
      <c r="E90" s="36">
        <f>IFERROR('CF 2022-23'!C25,0)</f>
        <v>-2158</v>
      </c>
      <c r="F90" s="36">
        <f>IFERROR('CF 2022-23'!B25,0)</f>
        <v>-1662</v>
      </c>
      <c r="G90" s="36">
        <f>IFERROR('CF 2024-25'!C27,0)</f>
        <v>-861</v>
      </c>
      <c r="H90" s="36">
        <f>IFERROR('CF 2024-25'!B27,0)</f>
        <v>-1410</v>
      </c>
    </row>
    <row r="91" spans="2:8" x14ac:dyDescent="0.3">
      <c r="B91" t="s">
        <v>706</v>
      </c>
      <c r="C91" s="36">
        <f>IFERROR('CF 2020-21'!C27,0)</f>
        <v>2</v>
      </c>
      <c r="D91" s="36">
        <f>IFERROR('CF 2020-21'!B27,0)</f>
        <v>32</v>
      </c>
      <c r="E91" s="36">
        <f>IFERROR('CF 2022-23'!C26,0)</f>
        <v>31</v>
      </c>
      <c r="F91" s="36">
        <f>IFERROR('CF 2022-23'!B26,0)</f>
        <v>13</v>
      </c>
      <c r="G91" s="36">
        <f>IFERROR('CF 2024-25'!C28,0)</f>
        <v>28</v>
      </c>
      <c r="H91" s="36">
        <f>IFERROR('CF 2024-25'!B28,0)</f>
        <v>125</v>
      </c>
    </row>
    <row r="92" spans="2:8" x14ac:dyDescent="0.3">
      <c r="B92" t="s">
        <v>707</v>
      </c>
      <c r="C92" s="36">
        <f>IFERROR(SUM('CF 2020-21'!C28:C30),0)</f>
        <v>-111437</v>
      </c>
      <c r="D92" s="36">
        <f>IFERROR(SUM('CF 2020-21'!B28:B30),0)</f>
        <v>-100797</v>
      </c>
      <c r="E92" s="36">
        <f>IFERROR(SUM('CF 2022-23'!C27:C29),0)</f>
        <v>-90873</v>
      </c>
      <c r="F92" s="36">
        <f>IFERROR(SUM('CF 2022-23'!B27:B29),0)</f>
        <v>-104596</v>
      </c>
      <c r="G92" s="36">
        <f>IFERROR(SUM('CF 2024-25'!C29:C30),0)</f>
        <v>-75573</v>
      </c>
      <c r="H92" s="36">
        <f>IFERROR(SUM('CF 2024-25'!B29:B30),0)</f>
        <v>-159339</v>
      </c>
    </row>
    <row r="93" spans="2:8" x14ac:dyDescent="0.3">
      <c r="B93" t="s">
        <v>708</v>
      </c>
      <c r="C93" s="36">
        <f>IFERROR(SUM('CF 2020-21'!C31:C32),0)</f>
        <v>107569</v>
      </c>
      <c r="D93" s="36">
        <f>IFERROR(SUM('CF 2020-21'!B31:B32),0)</f>
        <v>104462</v>
      </c>
      <c r="E93" s="36">
        <f>IFERROR(SUM('CF 2022-23'!C30:C31),0)</f>
        <v>88134</v>
      </c>
      <c r="F93" s="36">
        <f>IFERROR(SUM('CF 2022-23'!B30:B31),0)</f>
        <v>97988</v>
      </c>
      <c r="G93" s="36">
        <f>IFERROR(SUM('CF 2024-25'!C31:C32),0)</f>
        <v>74452</v>
      </c>
      <c r="H93" s="36">
        <f>IFERROR(SUM('CF 2024-25'!B31:B32),0)</f>
        <v>145798</v>
      </c>
    </row>
    <row r="94" spans="2:8" x14ac:dyDescent="0.3">
      <c r="B94" t="s">
        <v>723</v>
      </c>
      <c r="C94" s="36">
        <f>IFERROR('CF 2020-21'!C36,0)</f>
        <v>1218</v>
      </c>
      <c r="D94" s="36">
        <f>IFERROR('CF 2020-21'!B36,0)</f>
        <v>1047</v>
      </c>
      <c r="E94" s="36">
        <f>IFERROR('CF 2022-23'!C35,0)</f>
        <v>2077</v>
      </c>
      <c r="F94" s="36">
        <f>IFERROR('CF 2022-23'!B35,0)</f>
        <v>2460</v>
      </c>
      <c r="G94" s="36">
        <f>IFERROR(SUM('CF 2024-25'!C38:C39),0)</f>
        <v>3305</v>
      </c>
      <c r="H94" s="36">
        <f>IFERROR(SUM('CF 2024-25'!B38:B39),0)</f>
        <v>1626</v>
      </c>
    </row>
    <row r="95" spans="2:8" x14ac:dyDescent="0.3">
      <c r="B95" t="s">
        <v>709</v>
      </c>
      <c r="C95" s="36">
        <f>IFERROR(SUM('CF 2020-21'!C33:C34),0)</f>
        <v>-125</v>
      </c>
      <c r="D95" s="36">
        <f>IFERROR(SUM('CF 2020-21'!B33:B34),0)</f>
        <v>-21846</v>
      </c>
      <c r="E95" s="36">
        <f>IFERROR(SUM('CF 2022-23'!C32:C33),0)</f>
        <v>-3795</v>
      </c>
      <c r="F95" s="36">
        <f>IFERROR(SUM('CF 2022-23'!B32:B33),0)</f>
        <v>-3885</v>
      </c>
      <c r="G95" s="36">
        <f>IFERROR(SUM('CF 2024-25'!C34:C35),0)</f>
        <v>-3820</v>
      </c>
      <c r="H95" s="36">
        <f>IFERROR(SUM('CF 2024-25'!B34:B35),0)</f>
        <v>-5797</v>
      </c>
    </row>
    <row r="96" spans="2:8" x14ac:dyDescent="0.3">
      <c r="B96" t="s">
        <v>710</v>
      </c>
      <c r="C96" s="36" t="s">
        <v>676</v>
      </c>
      <c r="D96" s="36" t="s">
        <v>676</v>
      </c>
      <c r="E96" s="36" t="s">
        <v>676</v>
      </c>
      <c r="F96" s="36" t="s">
        <v>676</v>
      </c>
      <c r="G96" s="36" t="s">
        <v>676</v>
      </c>
      <c r="H96" s="36" t="s">
        <v>676</v>
      </c>
    </row>
    <row r="97" spans="1:8" x14ac:dyDescent="0.3">
      <c r="B97" t="s">
        <v>711</v>
      </c>
      <c r="C97" s="36" t="s">
        <v>676</v>
      </c>
      <c r="D97" s="36" t="s">
        <v>676</v>
      </c>
      <c r="E97" s="36" t="s">
        <v>676</v>
      </c>
      <c r="F97" s="36" t="s">
        <v>676</v>
      </c>
      <c r="G97" s="36">
        <f>IFERROR('CF 2024-25'!C33,0)</f>
        <v>-3388</v>
      </c>
      <c r="H97" s="36">
        <f>IFERROR('CF 2024-25'!B33,0)</f>
        <v>0</v>
      </c>
    </row>
    <row r="98" spans="1:8" x14ac:dyDescent="0.3">
      <c r="B98" t="s">
        <v>712</v>
      </c>
      <c r="C98" s="36">
        <f>IFERROR('CF 2020-21'!C35,0)</f>
        <v>0</v>
      </c>
      <c r="D98" s="36">
        <f>IFERROR('CF 2020-21'!B35,0)</f>
        <v>-3518</v>
      </c>
      <c r="E98" s="36">
        <f>IFERROR('CF 2022-23'!C34,0)</f>
        <v>3518</v>
      </c>
      <c r="F98" s="36">
        <f>IFERROR('CF 2022-23'!B34,0)</f>
        <v>0</v>
      </c>
      <c r="G98" s="36" cm="1">
        <f t="array" ref="G98">IFERROR('CF 2024-25'!n0,0)</f>
        <v>0</v>
      </c>
      <c r="H98" s="36" cm="1">
        <f t="array" ref="H98">IFERROR('CF 2024-25'!n0,0)</f>
        <v>0</v>
      </c>
    </row>
    <row r="99" spans="1:8" x14ac:dyDescent="0.3">
      <c r="B99" t="s">
        <v>713</v>
      </c>
      <c r="C99" s="36" t="s">
        <v>676</v>
      </c>
      <c r="D99" s="36" t="s">
        <v>676</v>
      </c>
      <c r="E99" s="36" t="s">
        <v>676</v>
      </c>
      <c r="F99" s="36" t="s">
        <v>676</v>
      </c>
      <c r="G99" s="36">
        <f>IFERROR(SUM('CF 2024-25'!C36,'CF 2024-25'!C37),0)</f>
        <v>3248</v>
      </c>
      <c r="H99" s="36">
        <f>IFERROR(SUM('CF 2024-25'!B36,'CF 2024-25'!B37),0)</f>
        <v>1793</v>
      </c>
    </row>
    <row r="100" spans="1:8" x14ac:dyDescent="0.3">
      <c r="B100" s="41" t="s">
        <v>714</v>
      </c>
      <c r="C100" s="25">
        <f>IFERROR(SUM(C90:C99),0)</f>
        <v>-3624</v>
      </c>
      <c r="D100" s="25">
        <f t="shared" ref="D100:F100" si="27">IFERROR(SUM(D90:D99),0)</f>
        <v>-21131</v>
      </c>
      <c r="E100" s="25">
        <f t="shared" si="27"/>
        <v>-3066</v>
      </c>
      <c r="F100" s="25">
        <f t="shared" si="27"/>
        <v>-9682</v>
      </c>
      <c r="G100" s="25">
        <f>IFERROR(SUM(G90:G99),0)</f>
        <v>-2609</v>
      </c>
      <c r="H100" s="25">
        <f>IFERROR(SUM(H90:H99),0)</f>
        <v>-17204</v>
      </c>
    </row>
    <row r="101" spans="1:8" x14ac:dyDescent="0.3">
      <c r="B101" s="2" t="s">
        <v>141</v>
      </c>
      <c r="C101" s="36" t="s">
        <v>676</v>
      </c>
      <c r="D101" s="36" t="s">
        <v>676</v>
      </c>
      <c r="E101" s="36" t="s">
        <v>676</v>
      </c>
      <c r="F101" s="36" t="s">
        <v>676</v>
      </c>
      <c r="G101" s="36" t="s">
        <v>676</v>
      </c>
      <c r="H101" s="36" t="s">
        <v>676</v>
      </c>
    </row>
    <row r="102" spans="1:8" x14ac:dyDescent="0.3">
      <c r="B102" t="s">
        <v>715</v>
      </c>
      <c r="C102" s="36"/>
      <c r="D102" s="36" t="s">
        <v>676</v>
      </c>
      <c r="E102" s="36" t="s">
        <v>676</v>
      </c>
      <c r="F102" s="36" t="s">
        <v>676</v>
      </c>
      <c r="G102" s="36" t="s">
        <v>676</v>
      </c>
      <c r="H102" s="36" t="s">
        <v>676</v>
      </c>
    </row>
    <row r="103" spans="1:8" x14ac:dyDescent="0.3">
      <c r="B103" t="s">
        <v>716</v>
      </c>
      <c r="C103" s="36">
        <f>IFERROR('CF 2020-21'!C40,0)</f>
        <v>161</v>
      </c>
      <c r="D103" s="36">
        <f>IFERROR('CF 2020-21'!B40,0)</f>
        <v>17677</v>
      </c>
      <c r="E103" s="36">
        <f>IFERROR('CF 2022-23'!C39,0)</f>
        <v>11326</v>
      </c>
      <c r="F103" s="36">
        <f>IFERROR('CF 2022-23'!B39,0)</f>
        <v>5520</v>
      </c>
      <c r="G103" s="36">
        <f>IFERROR('CF 2024-25'!C44,0)</f>
        <v>7481</v>
      </c>
      <c r="H103" s="36">
        <f>IFERROR('CF 2024-25'!B44,0)</f>
        <v>21342</v>
      </c>
    </row>
    <row r="104" spans="1:8" x14ac:dyDescent="0.3">
      <c r="B104" t="s">
        <v>717</v>
      </c>
      <c r="C104" s="36">
        <f>IFERROR('CF 2020-21'!C42,0)</f>
        <v>-310</v>
      </c>
      <c r="D104" s="36">
        <f>IFERROR('CF 2020-21'!B42,0)</f>
        <v>-201</v>
      </c>
      <c r="E104" s="36">
        <f>IFERROR('CF 2022-23'!C41,0)</f>
        <v>-9090</v>
      </c>
      <c r="F104" s="36">
        <f>IFERROR('CF 2022-23'!B41,0)</f>
        <v>-2514</v>
      </c>
      <c r="G104" s="36">
        <f>IFERROR('CF 2024-25'!C47,0)</f>
        <v>-9317</v>
      </c>
      <c r="H104" s="36">
        <f>IFERROR('CF 2024-25'!B47,0)</f>
        <v>-6371</v>
      </c>
    </row>
    <row r="105" spans="1:8" x14ac:dyDescent="0.3">
      <c r="B105" t="s">
        <v>718</v>
      </c>
      <c r="C105" s="36">
        <f>IFERROR('CF 2020-21'!C39,0)</f>
        <v>-88</v>
      </c>
      <c r="D105" s="36">
        <f>IFERROR('CF 2020-21'!B39,0)</f>
        <v>-742</v>
      </c>
      <c r="E105" s="36">
        <f>IFERROR('CF 2022-23'!C38,0)</f>
        <v>-1114</v>
      </c>
      <c r="F105" s="36">
        <f>IFERROR('CF 2022-23'!B38,0)</f>
        <v>-1242</v>
      </c>
      <c r="G105" s="36">
        <f>IFERROR('CF 2024-25'!C42,0)</f>
        <v>-1608</v>
      </c>
      <c r="H105" s="36">
        <f>IFERROR('CF 2024-25'!B42,0)</f>
        <v>-2256</v>
      </c>
    </row>
    <row r="106" spans="1:8" x14ac:dyDescent="0.3">
      <c r="B106" s="43" t="s">
        <v>719</v>
      </c>
      <c r="C106" s="36" t="s">
        <v>676</v>
      </c>
      <c r="D106" s="36" t="s">
        <v>676</v>
      </c>
      <c r="E106" s="36" t="s">
        <v>676</v>
      </c>
      <c r="F106" s="36" t="s">
        <v>676</v>
      </c>
      <c r="G106" s="36" t="s">
        <v>676</v>
      </c>
      <c r="H106" s="36" t="s">
        <v>676</v>
      </c>
    </row>
    <row r="107" spans="1:8" x14ac:dyDescent="0.3">
      <c r="B107" s="43" t="s">
        <v>720</v>
      </c>
      <c r="C107" s="36" t="s">
        <v>676</v>
      </c>
      <c r="D107" s="36" t="s">
        <v>676</v>
      </c>
      <c r="E107" s="36" t="s">
        <v>676</v>
      </c>
      <c r="F107" s="36" t="s">
        <v>676</v>
      </c>
      <c r="G107" s="36" t="s">
        <v>676</v>
      </c>
      <c r="H107" s="36" t="s">
        <v>676</v>
      </c>
    </row>
    <row r="108" spans="1:8" x14ac:dyDescent="0.3">
      <c r="B108" t="s">
        <v>721</v>
      </c>
      <c r="C108" s="36">
        <f>IFERROR(SUM('CF 2020-21'!C41),0)</f>
        <v>-86</v>
      </c>
      <c r="D108" s="36">
        <f>IFERROR(SUM('CF 2020-21'!B41),0)</f>
        <v>-77</v>
      </c>
      <c r="E108" s="36">
        <f>IFERROR(SUM('CF 2022-23'!C40),0)</f>
        <v>-90</v>
      </c>
      <c r="F108" s="36">
        <f>IFERROR(SUM('CF 2022-23'!B40),0)</f>
        <v>-101</v>
      </c>
      <c r="G108" s="36">
        <f>IFERROR(SUM('CF 2024-25'!C43,'CF 2024-25'!C45,'CF 2024-25'!C46),0)</f>
        <v>-856</v>
      </c>
      <c r="H108" s="36">
        <f>IFERROR(SUM('CF 2024-25'!B43,'CF 2024-25'!B45,'CF 2024-25'!B46),0)</f>
        <v>-100</v>
      </c>
    </row>
    <row r="109" spans="1:8" x14ac:dyDescent="0.3">
      <c r="A109" s="46"/>
      <c r="B109" s="41" t="s">
        <v>722</v>
      </c>
      <c r="C109" s="44">
        <f>IFERROR(SUM(C101:C108),0)</f>
        <v>-323</v>
      </c>
      <c r="D109" s="44">
        <f t="shared" ref="D109:H109" si="28">IFERROR(SUM(D101:D108),0)</f>
        <v>16657</v>
      </c>
      <c r="E109" s="44">
        <f t="shared" si="28"/>
        <v>1032</v>
      </c>
      <c r="F109" s="44">
        <f t="shared" si="28"/>
        <v>1663</v>
      </c>
      <c r="G109" s="44">
        <f t="shared" si="28"/>
        <v>-4300</v>
      </c>
      <c r="H109" s="44">
        <f t="shared" si="28"/>
        <v>12615</v>
      </c>
    </row>
    <row r="110" spans="1:8" x14ac:dyDescent="0.3">
      <c r="B110" s="45" t="s">
        <v>150</v>
      </c>
      <c r="C110" s="36">
        <f>IFERROR(SUM(C88,C100,C109),0)</f>
        <v>-219</v>
      </c>
      <c r="D110" s="36">
        <f t="shared" ref="D110:H110" si="29">IFERROR(SUM(D88,D100,D109),0)</f>
        <v>196</v>
      </c>
      <c r="E110" s="36">
        <f t="shared" si="29"/>
        <v>1087</v>
      </c>
      <c r="F110" s="36">
        <f t="shared" si="29"/>
        <v>-1145</v>
      </c>
      <c r="G110" s="36">
        <f t="shared" si="29"/>
        <v>1712</v>
      </c>
      <c r="H110" s="36">
        <f t="shared" si="29"/>
        <v>-31</v>
      </c>
    </row>
    <row r="113" spans="2:11" x14ac:dyDescent="0.3">
      <c r="B113" s="37" t="s">
        <v>773</v>
      </c>
      <c r="C113" s="20">
        <v>196.7</v>
      </c>
      <c r="D113" s="20">
        <v>414.15</v>
      </c>
      <c r="E113" s="20">
        <v>591.9</v>
      </c>
      <c r="F113" s="20">
        <v>365.25</v>
      </c>
      <c r="G113" s="20">
        <v>480.1</v>
      </c>
      <c r="H113" s="20">
        <v>262.25</v>
      </c>
      <c r="I113" s="80"/>
      <c r="J113" s="80"/>
      <c r="K113" s="80"/>
    </row>
    <row r="114" spans="2:11" x14ac:dyDescent="0.3">
      <c r="B114" s="37" t="s">
        <v>780</v>
      </c>
      <c r="C114" s="79">
        <f>AVEDEV(C45:H45)</f>
        <v>0.15602061053156877</v>
      </c>
      <c r="D114" s="81" t="s">
        <v>778</v>
      </c>
      <c r="I114" s="80"/>
      <c r="J114" s="80"/>
      <c r="K114" s="80"/>
    </row>
    <row r="115" spans="2:11" x14ac:dyDescent="0.3">
      <c r="B115" t="s">
        <v>829</v>
      </c>
      <c r="C115" s="133">
        <f>C113*C42</f>
        <v>95136.315399999992</v>
      </c>
      <c r="D115" s="133">
        <f t="shared" ref="D115:G115" si="30">D113*D42</f>
        <v>200308.61729999998</v>
      </c>
      <c r="E115" s="133">
        <f t="shared" si="30"/>
        <v>286279.53779999999</v>
      </c>
      <c r="F115" s="133">
        <f t="shared" si="30"/>
        <v>176657.54549999998</v>
      </c>
      <c r="G115" s="133">
        <f t="shared" si="30"/>
        <v>232206.1262</v>
      </c>
      <c r="H115" s="133">
        <f>H113*H42</f>
        <v>126840.35949999999</v>
      </c>
    </row>
    <row r="116" spans="2:11" x14ac:dyDescent="0.3">
      <c r="B116" t="s">
        <v>830</v>
      </c>
      <c r="C116" s="133">
        <f>IFERROR(C115+C56+C58+D123+D124+D125-C73,0)</f>
        <v>97575.315399999992</v>
      </c>
      <c r="D116" s="133">
        <f t="shared" ref="D116:G116" si="31">IFERROR(D115+D56+D58+E123+E124+E125-D73,0)</f>
        <v>219373.61729999998</v>
      </c>
      <c r="E116" s="133">
        <f t="shared" si="31"/>
        <v>305517.53779999999</v>
      </c>
      <c r="F116" s="133">
        <f t="shared" si="31"/>
        <v>200000.54549999998</v>
      </c>
      <c r="G116" s="133">
        <f t="shared" si="31"/>
        <v>252002.1262</v>
      </c>
      <c r="H116" s="133">
        <f>IFERROR(H115+H56+H58+I123+I124+I125-H73,0)</f>
        <v>161656.35949999999</v>
      </c>
    </row>
    <row r="122" spans="2:11" x14ac:dyDescent="0.3">
      <c r="B122" s="97" t="s">
        <v>831</v>
      </c>
      <c r="C122" s="97"/>
      <c r="D122" s="134">
        <f t="shared" ref="D122:I122" si="32">C3</f>
        <v>43921</v>
      </c>
      <c r="E122" s="134">
        <f t="shared" si="32"/>
        <v>44286</v>
      </c>
      <c r="F122" s="134">
        <f t="shared" si="32"/>
        <v>44651</v>
      </c>
      <c r="G122" s="134">
        <f t="shared" si="32"/>
        <v>45016</v>
      </c>
      <c r="H122" s="134">
        <f t="shared" si="32"/>
        <v>45382</v>
      </c>
      <c r="I122" s="134">
        <f t="shared" si="32"/>
        <v>45747</v>
      </c>
    </row>
    <row r="123" spans="2:11" x14ac:dyDescent="0.3">
      <c r="B123" s="135" t="str">
        <f>IFERROR('BS 2020-21'!A45,0)</f>
        <v xml:space="preserve">    Financial liabilities - Lease liabilities</v>
      </c>
      <c r="D123" s="20">
        <f>'BS 2020-21'!C38</f>
        <v>130</v>
      </c>
      <c r="E123" s="20">
        <f>'BS 2020-21'!B38</f>
        <v>61</v>
      </c>
      <c r="F123" s="20">
        <f>'BS 2022-23'!C41</f>
        <v>32</v>
      </c>
      <c r="G123" s="20">
        <f>'BS 2022-23'!B41</f>
        <v>22</v>
      </c>
      <c r="H123" s="20">
        <f>'BS 2024-25'!C42</f>
        <v>79</v>
      </c>
      <c r="I123" s="20">
        <f>'BS 2024-25'!B42</f>
        <v>109</v>
      </c>
    </row>
    <row r="124" spans="2:11" x14ac:dyDescent="0.3">
      <c r="B124" s="135" t="str">
        <f>'BS 2020-21'!A49</f>
        <v xml:space="preserve">    Current maturities of long-term debt</v>
      </c>
      <c r="D124" s="20">
        <f>IFERROR('BS 2020-21'!C49,0)</f>
        <v>794</v>
      </c>
      <c r="E124" s="20">
        <f>IFERROR('BS 2020-21'!B49,0)</f>
        <v>816</v>
      </c>
      <c r="F124" s="20"/>
      <c r="G124" s="20"/>
      <c r="H124" s="20"/>
      <c r="I124" s="20"/>
    </row>
    <row r="125" spans="2:11" x14ac:dyDescent="0.3">
      <c r="B125" s="135" t="str">
        <f>'BS 2020-21'!A38</f>
        <v xml:space="preserve">    Financial liabilities - Lease liabilities</v>
      </c>
      <c r="D125" s="20">
        <f>'BS 2020-21'!C45</f>
        <v>118</v>
      </c>
      <c r="E125" s="20">
        <f>'BS 2020-21'!B45</f>
        <v>130</v>
      </c>
      <c r="F125" s="20">
        <f>'BS 2022-23'!C48</f>
        <v>119</v>
      </c>
      <c r="G125" s="20">
        <f>'BS 2022-23'!B48</f>
        <v>83</v>
      </c>
      <c r="H125" s="20">
        <f>'BS 2024-25'!C49</f>
        <v>27</v>
      </c>
      <c r="I125" s="20">
        <f>'BS 2024-25'!B49</f>
        <v>15</v>
      </c>
    </row>
    <row r="126" spans="2:11" x14ac:dyDescent="0.3">
      <c r="B126" s="136" t="s">
        <v>673</v>
      </c>
      <c r="D126" s="20">
        <f>C56</f>
        <v>1192</v>
      </c>
      <c r="E126" s="20">
        <f t="shared" ref="E126:I126" si="33">D56</f>
        <v>17375</v>
      </c>
      <c r="F126" s="20">
        <f t="shared" si="33"/>
        <v>18967</v>
      </c>
      <c r="G126" s="20">
        <f t="shared" si="33"/>
        <v>14985</v>
      </c>
      <c r="H126" s="20">
        <f t="shared" si="33"/>
        <v>11967</v>
      </c>
      <c r="I126" s="20">
        <f t="shared" si="33"/>
        <v>21551</v>
      </c>
    </row>
    <row r="127" spans="2:11" x14ac:dyDescent="0.3">
      <c r="B127" s="136" t="s">
        <v>693</v>
      </c>
      <c r="D127" s="20">
        <f>C58</f>
        <v>1555</v>
      </c>
      <c r="E127" s="20">
        <f t="shared" ref="E127:I127" si="34">D58</f>
        <v>2230</v>
      </c>
      <c r="F127" s="20">
        <f t="shared" si="34"/>
        <v>2862</v>
      </c>
      <c r="G127" s="20">
        <f t="shared" si="34"/>
        <v>9850</v>
      </c>
      <c r="H127" s="20">
        <f t="shared" si="34"/>
        <v>11032</v>
      </c>
      <c r="I127" s="20">
        <f t="shared" si="34"/>
        <v>16419</v>
      </c>
    </row>
    <row r="128" spans="2:11" x14ac:dyDescent="0.3">
      <c r="B128" s="137" t="s">
        <v>682</v>
      </c>
      <c r="D128" s="20">
        <f>C73</f>
        <v>1350</v>
      </c>
      <c r="E128" s="20">
        <f t="shared" ref="E128:I128" si="35">D73</f>
        <v>1547</v>
      </c>
      <c r="F128" s="20">
        <f t="shared" si="35"/>
        <v>2742</v>
      </c>
      <c r="G128" s="20">
        <f t="shared" si="35"/>
        <v>1597</v>
      </c>
      <c r="H128" s="20">
        <f t="shared" si="35"/>
        <v>3309</v>
      </c>
      <c r="I128" s="20">
        <f t="shared" si="35"/>
        <v>3278</v>
      </c>
    </row>
    <row r="131" spans="2:9" x14ac:dyDescent="0.3">
      <c r="B131" s="97" t="s">
        <v>835</v>
      </c>
      <c r="C131" s="97"/>
      <c r="D131" s="134">
        <f>D122</f>
        <v>43921</v>
      </c>
      <c r="E131" s="134">
        <f t="shared" ref="E131:I131" si="36">E122</f>
        <v>44286</v>
      </c>
      <c r="F131" s="134">
        <f t="shared" si="36"/>
        <v>44651</v>
      </c>
      <c r="G131" s="134">
        <f t="shared" si="36"/>
        <v>45016</v>
      </c>
      <c r="H131" s="134">
        <f t="shared" si="36"/>
        <v>45382</v>
      </c>
      <c r="I131" s="134">
        <f t="shared" si="36"/>
        <v>45747</v>
      </c>
    </row>
    <row r="132" spans="2:9" x14ac:dyDescent="0.3">
      <c r="B132" s="135" t="str">
        <f>'PL 2024-25'!A12</f>
        <v>Cost of materials consumed</v>
      </c>
      <c r="C132" s="138"/>
      <c r="D132" s="20">
        <f>'PL 2020-21'!C12</f>
        <v>16125</v>
      </c>
      <c r="E132" s="20">
        <f>'PL 2020-21'!C12</f>
        <v>16125</v>
      </c>
      <c r="F132" s="20">
        <f>'PL 2022-23'!C12</f>
        <v>29030</v>
      </c>
      <c r="G132" s="20">
        <f>'PL 2022-23'!B12</f>
        <v>37573</v>
      </c>
      <c r="H132" s="20">
        <f>'PL 2024-25'!C12</f>
        <v>38297</v>
      </c>
      <c r="I132" s="20">
        <f>'PL 2024-25'!B12</f>
        <v>39567</v>
      </c>
    </row>
    <row r="133" spans="2:9" x14ac:dyDescent="0.3">
      <c r="B133" s="135" t="str">
        <f>'PL 2024-25'!A13</f>
        <v>Purchases of stock-in-trade</v>
      </c>
      <c r="C133" s="138"/>
      <c r="D133" s="20">
        <f>'PL 2020-21'!C13</f>
        <v>9470</v>
      </c>
      <c r="E133" s="20">
        <f>'PL 2020-21'!C13</f>
        <v>9470</v>
      </c>
      <c r="F133" s="20">
        <f>'PL 2022-23'!C13</f>
        <v>6846</v>
      </c>
      <c r="G133" s="20">
        <f>'PL 2022-23'!B13</f>
        <v>3163</v>
      </c>
      <c r="H133" s="20">
        <f>'PL 2024-25'!C13</f>
        <v>530</v>
      </c>
      <c r="I133" s="20">
        <f>'PL 2024-25'!B13</f>
        <v>1434</v>
      </c>
    </row>
    <row r="134" spans="2:9" x14ac:dyDescent="0.3">
      <c r="B134" s="135" t="str">
        <f>'PL 2024-25'!A14</f>
        <v>Changes in inventories of finished products, WIP and stock-in-trade</v>
      </c>
      <c r="C134" s="138"/>
      <c r="D134" s="20">
        <f>'PL 2020-21'!C14</f>
        <v>-288</v>
      </c>
      <c r="E134" s="20">
        <f>'PL 2020-21'!C14</f>
        <v>-288</v>
      </c>
      <c r="F134" s="20">
        <f>'PL 2022-23'!C14</f>
        <v>-1762</v>
      </c>
      <c r="G134" s="20">
        <f>'PL 2022-23'!B14</f>
        <v>594</v>
      </c>
      <c r="H134" s="20">
        <f>'PL 2024-25'!C14</f>
        <v>697</v>
      </c>
      <c r="I134" s="20">
        <f>'PL 2024-25'!B14</f>
        <v>-293</v>
      </c>
    </row>
    <row r="135" spans="2:9" x14ac:dyDescent="0.3">
      <c r="B135" s="136" t="s">
        <v>836</v>
      </c>
      <c r="C135" s="138"/>
      <c r="D135" s="20">
        <f>SUM(D132:D134)</f>
        <v>25307</v>
      </c>
      <c r="E135" s="20">
        <f t="shared" ref="E135:I135" si="37">SUM(E132:E134)</f>
        <v>25307</v>
      </c>
      <c r="F135" s="20">
        <f t="shared" si="37"/>
        <v>34114</v>
      </c>
      <c r="G135" s="20">
        <f t="shared" si="37"/>
        <v>41330</v>
      </c>
      <c r="H135" s="20">
        <f t="shared" si="37"/>
        <v>39524</v>
      </c>
      <c r="I135" s="20">
        <f t="shared" si="37"/>
        <v>40708</v>
      </c>
    </row>
    <row r="136" spans="2:9" x14ac:dyDescent="0.3">
      <c r="B136" s="136" t="str">
        <f>'PL 2024-25'!A15</f>
        <v>Employee benefits expense</v>
      </c>
      <c r="C136" s="138"/>
      <c r="D136" s="20">
        <f>'PL 2020-21'!C15</f>
        <v>4077</v>
      </c>
      <c r="E136" s="20">
        <f>'PL 2020-21'!B15</f>
        <v>4518</v>
      </c>
      <c r="F136" s="20">
        <f>'PL 2022-23'!C15</f>
        <v>4944</v>
      </c>
      <c r="G136" s="20">
        <f>'PL 2022-23'!B15</f>
        <v>5585</v>
      </c>
      <c r="H136" s="20">
        <f>'PL 2024-25'!C15</f>
        <v>6264</v>
      </c>
      <c r="I136" s="20">
        <f>'PL 2024-25'!B15</f>
        <v>6467</v>
      </c>
    </row>
    <row r="137" spans="2:9" x14ac:dyDescent="0.3">
      <c r="B137" s="137" t="str">
        <f>'PL 2024-25'!A16</f>
        <v>Finance costs</v>
      </c>
      <c r="C137" s="138"/>
      <c r="D137" s="20">
        <f>C27</f>
        <v>113</v>
      </c>
      <c r="E137" s="20">
        <f t="shared" ref="E137:I137" si="38">D27</f>
        <v>762</v>
      </c>
      <c r="F137" s="20">
        <f t="shared" si="38"/>
        <v>1129</v>
      </c>
      <c r="G137" s="20">
        <f t="shared" si="38"/>
        <v>1254</v>
      </c>
      <c r="H137" s="20">
        <f t="shared" si="38"/>
        <v>1478</v>
      </c>
      <c r="I137" s="20">
        <f t="shared" si="38"/>
        <v>2223</v>
      </c>
    </row>
    <row r="138" spans="2:9" x14ac:dyDescent="0.3">
      <c r="B138" t="str">
        <f>B30</f>
        <v>D&amp;A impairment expense</v>
      </c>
      <c r="D138" s="20">
        <f>C30</f>
        <v>956</v>
      </c>
      <c r="E138" s="20">
        <f t="shared" ref="E138:I138" si="39">D30</f>
        <v>914</v>
      </c>
      <c r="F138" s="20">
        <f t="shared" si="39"/>
        <v>990</v>
      </c>
      <c r="G138" s="20">
        <f t="shared" si="39"/>
        <v>1151</v>
      </c>
      <c r="H138" s="20">
        <f t="shared" si="39"/>
        <v>1830</v>
      </c>
      <c r="I138" s="20">
        <f t="shared" si="39"/>
        <v>1311</v>
      </c>
    </row>
    <row r="139" spans="2:9" x14ac:dyDescent="0.3">
      <c r="B139" t="str">
        <f>B22</f>
        <v>Other exp</v>
      </c>
      <c r="D139" s="20">
        <f>HistoriacalIFLS!C22</f>
        <v>11893</v>
      </c>
      <c r="E139" s="20">
        <f>HistoriacalIFLS!D22</f>
        <v>11101</v>
      </c>
      <c r="F139" s="20">
        <f>HistoriacalIFLS!E22</f>
        <v>11844</v>
      </c>
      <c r="G139" s="20">
        <f>HistoriacalIFLS!F22</f>
        <v>15329</v>
      </c>
      <c r="H139" s="20">
        <f>HistoriacalIFLS!G22</f>
        <v>15955</v>
      </c>
      <c r="I139" s="20">
        <f>HistoriacalIFLS!H22</f>
        <v>17784</v>
      </c>
    </row>
  </sheetData>
  <mergeCells count="1">
    <mergeCell ref="B2:H2"/>
  </mergeCells>
  <pageMargins left="0.7" right="0.7" top="0.75" bottom="0.75" header="0.3" footer="0.3"/>
  <ignoredErrors>
    <ignoredError sqref="C13 H13 E59 C59 F59:H59 C57 H64 C83:G83 D92:H92 C93:D93 C92 C95:D95 E93:G93 E95:F95 H93:H94 G94 G95:H95 D13:E13" formulaRange="1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3416A-3E0C-43D2-8C82-ED98807733AA}">
  <dimension ref="B1:L71"/>
  <sheetViews>
    <sheetView showGridLines="0" topLeftCell="A44" workbookViewId="0">
      <selection activeCell="B68" sqref="B68"/>
    </sheetView>
  </sheetViews>
  <sheetFormatPr defaultRowHeight="14.4" x14ac:dyDescent="0.3"/>
  <cols>
    <col min="1" max="1" width="1.88671875" customWidth="1"/>
    <col min="2" max="2" width="29.33203125" bestFit="1" customWidth="1"/>
    <col min="3" max="3" width="13.6640625" bestFit="1" customWidth="1"/>
    <col min="4" max="6" width="13.21875" bestFit="1" customWidth="1"/>
    <col min="7" max="8" width="12.5546875" bestFit="1" customWidth="1"/>
    <col min="9" max="9" width="12.21875" customWidth="1"/>
    <col min="10" max="11" width="13.109375" bestFit="1" customWidth="1"/>
  </cols>
  <sheetData>
    <row r="1" spans="2:11" x14ac:dyDescent="0.3">
      <c r="B1" s="140" t="s">
        <v>779</v>
      </c>
      <c r="C1" s="140"/>
      <c r="D1" s="140"/>
      <c r="E1" s="140"/>
      <c r="F1" s="140"/>
      <c r="G1" s="140"/>
      <c r="H1" s="140"/>
      <c r="I1" s="140"/>
      <c r="J1" s="140"/>
      <c r="K1" s="140"/>
    </row>
    <row r="2" spans="2:11" x14ac:dyDescent="0.3">
      <c r="B2" s="12" t="s">
        <v>646</v>
      </c>
      <c r="C2" s="13">
        <f>HistoriacalIFLS!C3</f>
        <v>43921</v>
      </c>
      <c r="D2" s="13">
        <f>HistoriacalIFLS!D3</f>
        <v>44286</v>
      </c>
      <c r="E2" s="13">
        <f>HistoriacalIFLS!E3</f>
        <v>44651</v>
      </c>
      <c r="F2" s="13">
        <f>HistoriacalIFLS!F3</f>
        <v>45016</v>
      </c>
      <c r="G2" s="13">
        <f>HistoriacalIFLS!G3</f>
        <v>45382</v>
      </c>
      <c r="H2" s="13">
        <f>HistoriacalIFLS!H3</f>
        <v>45747</v>
      </c>
      <c r="I2" s="47" t="s">
        <v>724</v>
      </c>
      <c r="J2" s="47" t="s">
        <v>725</v>
      </c>
      <c r="K2" s="47" t="s">
        <v>726</v>
      </c>
    </row>
    <row r="4" spans="2:11" x14ac:dyDescent="0.3">
      <c r="B4" s="48" t="s">
        <v>727</v>
      </c>
      <c r="C4" s="48"/>
      <c r="D4" s="49">
        <f>HistoriacalIFLS!D8</f>
        <v>8.1276818419675489E-2</v>
      </c>
      <c r="E4" s="49">
        <f>HistoriacalIFLS!E8</f>
        <v>0.12052344264199166</v>
      </c>
      <c r="F4" s="49">
        <f>HistoriacalIFLS!F8</f>
        <v>0.21021353050929448</v>
      </c>
      <c r="G4" s="49">
        <f>HistoriacalIFLS!G8</f>
        <v>2.0313481413806844E-2</v>
      </c>
      <c r="H4" s="49">
        <f>HistoriacalIFLS!H8</f>
        <v>1.1654424623994464E-2</v>
      </c>
      <c r="I4" s="49"/>
      <c r="J4" s="49">
        <f>IFERROR(AVERAGE(D4:H4),0)</f>
        <v>8.8796339521752587E-2</v>
      </c>
      <c r="K4" s="49">
        <f>IFERROR(MEDIAN(C4:H4),0)</f>
        <v>8.1276818419675489E-2</v>
      </c>
    </row>
    <row r="5" spans="2:11" x14ac:dyDescent="0.3">
      <c r="B5" t="s">
        <v>728</v>
      </c>
      <c r="D5" s="49">
        <f>IFERROR((HistoriacalIFLS!D24/HistoriacalIFLS!C24)-1,0)</f>
        <v>0.1353746271275662</v>
      </c>
      <c r="E5" s="49">
        <f>IFERROR((HistoriacalIFLS!E24/HistoriacalIFLS!D24)-1,0)</f>
        <v>-1.9163897689513987E-2</v>
      </c>
      <c r="F5" s="49">
        <f>IFERROR((HistoriacalIFLS!F24/HistoriacalIFLS!E24)-1,0)</f>
        <v>0.21169148349483957</v>
      </c>
      <c r="G5" s="49">
        <f>IFERROR((HistoriacalIFLS!G24/HistoriacalIFLS!F24)-1,0)</f>
        <v>0.25585175552665795</v>
      </c>
      <c r="H5" s="49">
        <f>IFERROR((HistoriacalIFLS!H24/HistoriacalIFLS!G24)-1,0)</f>
        <v>-0.14367072223660371</v>
      </c>
      <c r="I5" s="50"/>
      <c r="J5" s="49">
        <f>IFERROR(AVERAGE(D5:H5),0)</f>
        <v>8.8016649244589212E-2</v>
      </c>
      <c r="K5" s="49">
        <f>IFERROR(MEDIAN(C5:H5),0)</f>
        <v>0.1353746271275662</v>
      </c>
    </row>
    <row r="6" spans="2:11" x14ac:dyDescent="0.3">
      <c r="B6" t="s">
        <v>729</v>
      </c>
      <c r="D6" s="49">
        <f>IFERROR((HistoriacalIFLS!D24-HistoriacalIFLS!D30)/(HistoriacalIFLS!C24-HistoriacalIFLS!C30)-1,0)</f>
        <v>0.15179084466577275</v>
      </c>
      <c r="E6" s="49">
        <f>IFERROR((HistoriacalIFLS!E24-HistoriacalIFLS!E30)/(HistoriacalIFLS!D24-HistoriacalIFLS!D30)-1,0)</f>
        <v>-2.6939386380643526E-2</v>
      </c>
      <c r="F6" s="49">
        <f>IFERROR((HistoriacalIFLS!F24-HistoriacalIFLS!F30)/(HistoriacalIFLS!E24-HistoriacalIFLS!E30)-1,0)</f>
        <v>0.21584209177134062</v>
      </c>
      <c r="G6" s="49">
        <f>IFERROR((HistoriacalIFLS!G24-HistoriacalIFLS!G30)/(HistoriacalIFLS!F24-HistoriacalIFLS!F30)-1,0)</f>
        <v>0.22882844894230092</v>
      </c>
      <c r="H6" s="49">
        <f>IFERROR((HistoriacalIFLS!H24-HistoriacalIFLS!H30)/(HistoriacalIFLS!G24-HistoriacalIFLS!G30)-1,0)</f>
        <v>-0.12902487846725763</v>
      </c>
      <c r="I6" s="50"/>
      <c r="J6" s="49">
        <f>IFERROR(AVERAGE(D6:H6),0)</f>
        <v>8.8099424106302629E-2</v>
      </c>
      <c r="K6" s="49">
        <f>IFERROR(MEDIAN(C6:H6),0)</f>
        <v>0.15179084466577275</v>
      </c>
    </row>
    <row r="7" spans="2:11" x14ac:dyDescent="0.3">
      <c r="B7" t="s">
        <v>730</v>
      </c>
      <c r="D7" s="49">
        <f>IFERROR((HistoriacalIFLS!D39/HistoriacalIFLS!C39)-1,0)</f>
        <v>0.1166829745596869</v>
      </c>
      <c r="E7" s="49">
        <f>IFERROR((HistoriacalIFLS!E39/HistoriacalIFLS!D39)-1,0)</f>
        <v>-0.10438116100766703</v>
      </c>
      <c r="F7" s="49">
        <f>IFERROR((HistoriacalIFLS!F39/HistoriacalIFLS!E39)-1,0)</f>
        <v>0.30708083649260121</v>
      </c>
      <c r="G7" s="49">
        <f>IFERROR((HistoriacalIFLS!G39/HistoriacalIFLS!F39)-1,0)</f>
        <v>0.18188622754491024</v>
      </c>
      <c r="H7" s="49">
        <f>IFERROR((HistoriacalIFLS!H39/HistoriacalIFLS!G39)-1,0)</f>
        <v>-0.22609246358454715</v>
      </c>
      <c r="I7" s="50"/>
      <c r="J7" s="49">
        <f>IFERROR(AVERAGE(D7:H7),0)</f>
        <v>5.5035282800996829E-2</v>
      </c>
      <c r="K7" s="49">
        <f>IFERROR(MEDIAN(C7:H7),0)</f>
        <v>0.1166829745596869</v>
      </c>
    </row>
    <row r="8" spans="2:11" x14ac:dyDescent="0.3">
      <c r="B8" s="51" t="s">
        <v>731</v>
      </c>
      <c r="C8" s="65"/>
      <c r="D8" s="66">
        <f>HistoriacalIFLS!D47/HistoriacalIFLS!C47</f>
        <v>1</v>
      </c>
      <c r="E8" s="66">
        <f>HistoriacalIFLS!E47/HistoriacalIFLS!D47</f>
        <v>6</v>
      </c>
      <c r="F8" s="66">
        <f>HistoriacalIFLS!F47/HistoriacalIFLS!E47</f>
        <v>0.16666666666666666</v>
      </c>
      <c r="G8" s="66">
        <f>HistoriacalIFLS!G47/HistoriacalIFLS!F47</f>
        <v>1</v>
      </c>
      <c r="H8" s="66">
        <f>HistoriacalIFLS!H47/HistoriacalIFLS!G47</f>
        <v>11</v>
      </c>
      <c r="I8" s="52"/>
      <c r="J8" s="49">
        <f>IFERROR(AVERAGE(D8:H8),0)</f>
        <v>3.8333333333333335</v>
      </c>
      <c r="K8" s="49">
        <f>IFERROR(MEDIAN(C8:H8),0)</f>
        <v>1</v>
      </c>
    </row>
    <row r="9" spans="2:11" x14ac:dyDescent="0.3">
      <c r="C9" t="s">
        <v>676</v>
      </c>
      <c r="J9" s="49" t="s">
        <v>676</v>
      </c>
      <c r="K9" s="49" t="s">
        <v>676</v>
      </c>
    </row>
    <row r="10" spans="2:11" x14ac:dyDescent="0.3">
      <c r="B10" s="53" t="s">
        <v>732</v>
      </c>
      <c r="C10" s="54">
        <f>IFERROR(HistoriacalIFLS!C17,0)</f>
        <v>0.57285190999476709</v>
      </c>
      <c r="D10" s="54">
        <f>IFERROR(HistoriacalIFLS!D17,0)</f>
        <v>0.55286693251771268</v>
      </c>
      <c r="E10" s="54">
        <f>IFERROR(HistoriacalIFLS!E17,0)</f>
        <v>0.50931172690208004</v>
      </c>
      <c r="F10" s="54">
        <f>IFERROR(HistoriacalIFLS!F17,0)</f>
        <v>0.51810083937646323</v>
      </c>
      <c r="G10" s="54">
        <f>IFERROR(HistoriacalIFLS!G17,0)</f>
        <v>0.58109828611402592</v>
      </c>
      <c r="H10" s="54">
        <f>IFERROR(HistoriacalIFLS!H17,0)</f>
        <v>0.56412845051723182</v>
      </c>
      <c r="I10" s="53"/>
      <c r="J10" s="49">
        <f>IFERROR(AVERAGE(C10:H10),0)</f>
        <v>0.54972635757038013</v>
      </c>
      <c r="K10" s="49">
        <f>IFERROR(MEDIAN(C10:H10),0)</f>
        <v>0.55849769151747219</v>
      </c>
    </row>
    <row r="11" spans="2:11" x14ac:dyDescent="0.3">
      <c r="B11" t="s">
        <v>733</v>
      </c>
      <c r="C11" s="54">
        <f>IFERROR(HistoriacalIFLS!C25,0)</f>
        <v>0.23857666143380429</v>
      </c>
      <c r="D11" s="54">
        <f>IFERROR(HistoriacalIFLS!D25,0)</f>
        <v>0.25051298927562043</v>
      </c>
      <c r="E11" s="54">
        <f>IFERROR(HistoriacalIFLS!E25,0)</f>
        <v>0.21928339437495681</v>
      </c>
      <c r="F11" s="54">
        <f>IFERROR(HistoriacalIFLS!F25,0)</f>
        <v>0.21955119054416719</v>
      </c>
      <c r="G11" s="54">
        <f>IFERROR(HistoriacalIFLS!G25,0)</f>
        <v>0.27023434767401189</v>
      </c>
      <c r="H11" s="54">
        <f>IFERROR(HistoriacalIFLS!H25,0)</f>
        <v>0.22874370747358522</v>
      </c>
      <c r="J11" s="49">
        <f>IFERROR(AVERAGE(C11:H11),0)</f>
        <v>0.23781704846269094</v>
      </c>
      <c r="K11" s="49">
        <f>IFERROR(MEDIAN(C11:H11),0)</f>
        <v>0.23366018445369474</v>
      </c>
    </row>
    <row r="12" spans="2:11" x14ac:dyDescent="0.3">
      <c r="B12" t="s">
        <v>734</v>
      </c>
      <c r="C12" s="54">
        <f>IFERROR((HistoriacalIFLS!C24-HistoriacalIFLS!C30)/(HistoriacalIFLS!C11),0)</f>
        <v>0.198234456573327</v>
      </c>
      <c r="D12" s="54">
        <f>IFERROR((HistoriacalIFLS!D24-HistoriacalIFLS!D30)/(HistoriacalIFLS!D11),0)</f>
        <v>0.20536857742943496</v>
      </c>
      <c r="E12" s="54">
        <f>IFERROR((HistoriacalIFLS!E24-HistoriacalIFLS!E30)/(HistoriacalIFLS!E11),0)</f>
        <v>0.18402390125009827</v>
      </c>
      <c r="F12" s="54">
        <f>IFERROR((HistoriacalIFLS!F24-HistoriacalIFLS!F30)/(HistoriacalIFLS!F11),0)</f>
        <v>0.18330670926517573</v>
      </c>
      <c r="G12" s="54">
        <f>IFERROR((HistoriacalIFLS!G24-HistoriacalIFLS!G30)/(HistoriacalIFLS!G11),0)</f>
        <v>0.21570973870561819</v>
      </c>
      <c r="H12" s="54">
        <f>IFERROR((HistoriacalIFLS!H24-HistoriacalIFLS!H30)/(HistoriacalIFLS!H11),0)</f>
        <v>0.18686118848084027</v>
      </c>
      <c r="J12" s="49">
        <f>IFERROR(AVERAGE(C12:H12),0)</f>
        <v>0.19558409528408238</v>
      </c>
      <c r="K12" s="49">
        <f>IFERROR(MEDIAN(C12:H12),0)</f>
        <v>0.19254782252708363</v>
      </c>
    </row>
    <row r="13" spans="2:11" x14ac:dyDescent="0.3">
      <c r="B13" t="s">
        <v>735</v>
      </c>
      <c r="C13" s="54">
        <f>IFERROR(HistoriacalIFLS!C34,0)</f>
        <v>0.21620094191522762</v>
      </c>
      <c r="D13" s="54">
        <f>IFERROR(HistoriacalIFLS!D34,0)</f>
        <v>0.21806883735336249</v>
      </c>
      <c r="E13" s="54">
        <f>IFERROR(HistoriacalIFLS!E34,0)</f>
        <v>0.18267569622002625</v>
      </c>
      <c r="F13" s="54">
        <f>IFERROR(HistoriacalIFLS!F34,0)</f>
        <v>0.18521955119054417</v>
      </c>
      <c r="G13" s="54">
        <f>IFERROR(HistoriacalIFLS!G34,0)</f>
        <v>0.22395243091990205</v>
      </c>
      <c r="H13" s="54">
        <f>IFERROR(HistoriacalIFLS!H34,0)</f>
        <v>0.17986944736405377</v>
      </c>
      <c r="J13" s="49">
        <f>IFERROR(AVERAGE(C13:H13),0)</f>
        <v>0.20099781749385273</v>
      </c>
      <c r="K13" s="49">
        <f>IFERROR(MEDIAN(C13:H13),0)</f>
        <v>0.20071024655288588</v>
      </c>
    </row>
    <row r="14" spans="2:11" x14ac:dyDescent="0.3">
      <c r="B14" s="55" t="s">
        <v>736</v>
      </c>
      <c r="C14" s="66">
        <f>IFERROR(HistoriacalIFLS!C41,0)</f>
        <v>0.17113553113553115</v>
      </c>
      <c r="D14" s="66">
        <f>IFERROR(HistoriacalIFLS!D40,0)</f>
        <v>0.17673932401564132</v>
      </c>
      <c r="E14" s="66">
        <f>IFERROR(HistoriacalIFLS!E40,0)</f>
        <v>0.14126528919908782</v>
      </c>
      <c r="F14" s="66">
        <f>IFERROR(HistoriacalIFLS!F40,0)</f>
        <v>0.15257237480728603</v>
      </c>
      <c r="G14" s="66">
        <f>IFERROR(HistoriacalIFLS!G40,0)</f>
        <v>0.17673312346974468</v>
      </c>
      <c r="H14" s="66">
        <f>IFERROR(HistoriacalIFLS!H40,0)</f>
        <v>0.13519942468329921</v>
      </c>
      <c r="I14" s="55"/>
      <c r="J14" s="49">
        <f>IFERROR(AVERAGE(C14:H14),0)</f>
        <v>0.15894084455176505</v>
      </c>
      <c r="K14" s="49">
        <f>IFERROR(MEDIAN(C14:H14),0)</f>
        <v>0.16185395297140859</v>
      </c>
    </row>
    <row r="15" spans="2:11" x14ac:dyDescent="0.3">
      <c r="C15" s="29"/>
      <c r="D15" s="29"/>
      <c r="E15" s="29"/>
      <c r="F15" s="29"/>
      <c r="G15" s="29"/>
      <c r="H15" s="29"/>
      <c r="J15" s="49" t="s">
        <v>676</v>
      </c>
      <c r="K15" s="49" t="s">
        <v>676</v>
      </c>
    </row>
    <row r="16" spans="2:11" x14ac:dyDescent="0.3">
      <c r="B16" s="53" t="s">
        <v>757</v>
      </c>
      <c r="C16" s="54">
        <f>IFERROR(HistoriacalIFLS!C20,0)</f>
        <v>8.5337519623233909E-2</v>
      </c>
      <c r="D16" s="54">
        <f>IFERROR(HistoriacalIFLS!D20,0)</f>
        <v>8.7459831971814631E-2</v>
      </c>
      <c r="E16" s="54">
        <f>IFERROR(HistoriacalIFLS!E20,0)</f>
        <v>8.5412203717780383E-2</v>
      </c>
      <c r="F16" s="54">
        <f>IFERROR(HistoriacalIFLS!F20,0)</f>
        <v>7.9726488893964484E-2</v>
      </c>
      <c r="G16" s="54">
        <f>IFERROR(HistoriacalIFLS!G20,0)</f>
        <v>8.7639034627492132E-2</v>
      </c>
      <c r="H16" s="54">
        <f>IFERROR(HistoriacalIFLS!H20,0)</f>
        <v>8.9436853460198043E-2</v>
      </c>
      <c r="I16" s="53"/>
      <c r="J16" s="49">
        <f>IFERROR(AVERAGE(C16:H16),0)</f>
        <v>8.5835322049080606E-2</v>
      </c>
      <c r="K16" s="49">
        <f>IFERROR(MEDIAN(C16:H16),0)</f>
        <v>8.6436017844797514E-2</v>
      </c>
    </row>
    <row r="17" spans="2:11" x14ac:dyDescent="0.3">
      <c r="B17" t="s">
        <v>759</v>
      </c>
      <c r="C17" s="54">
        <f>IFERROR(HistoriacalIFLS!C31,0)</f>
        <v>2.0010465724751438E-2</v>
      </c>
      <c r="D17" s="54">
        <f>IFERROR(HistoriacalIFLS!D31,0)</f>
        <v>1.7693290487436602E-2</v>
      </c>
      <c r="E17" s="54">
        <f>IFERROR(HistoriacalIFLS!E31,0)</f>
        <v>1.7103171860963304E-2</v>
      </c>
      <c r="F17" s="54">
        <f>IFERROR(HistoriacalIFLS!F31,0)</f>
        <v>1.6430651516016675E-2</v>
      </c>
      <c r="G17" s="54">
        <f>IFERROR(HistoriacalIFLS!G31,0)</f>
        <v>2.5603357817418678E-2</v>
      </c>
      <c r="H17" s="54">
        <f>IFERROR(HistoriacalIFLS!H31,0)</f>
        <v>1.8130773911600378E-2</v>
      </c>
      <c r="J17" s="49">
        <f>IFERROR(AVERAGE(C17:H17),0)</f>
        <v>1.9161951886364513E-2</v>
      </c>
      <c r="K17" s="49">
        <f>IFERROR(MEDIAN(C17:H17),0)</f>
        <v>1.791203219951849E-2</v>
      </c>
    </row>
    <row r="18" spans="2:11" x14ac:dyDescent="0.3">
      <c r="B18" s="55" t="s">
        <v>737</v>
      </c>
      <c r="C18" s="66">
        <f>IFERROR(HistoriacalIFLS!C14,0)</f>
        <v>0.52971219256933544</v>
      </c>
      <c r="D18" s="66">
        <f>IFERROR(HistoriacalIFLS!D14,0)</f>
        <v>0.58080065043168527</v>
      </c>
      <c r="E18" s="66">
        <f>IFERROR(HistoriacalIFLS!E14,0)</f>
        <v>0.58935111602515378</v>
      </c>
      <c r="F18" s="66">
        <f>IFERROR(HistoriacalIFLS!F14,0)</f>
        <v>0.58999029292525551</v>
      </c>
      <c r="G18" s="66">
        <f>IFERROR(HistoriacalIFLS!G14,0)</f>
        <v>0.55297656523259886</v>
      </c>
      <c r="H18" s="66">
        <f>IFERROR(HistoriacalIFLS!H14,0)</f>
        <v>0.56298058306134868</v>
      </c>
      <c r="I18" s="55"/>
      <c r="J18" s="49">
        <f>IFERROR(AVERAGE(C18:H18),0)</f>
        <v>0.56763523337422961</v>
      </c>
      <c r="K18" s="49">
        <f>IFERROR(MEDIAN(C18:H18),0)</f>
        <v>0.57189061674651698</v>
      </c>
    </row>
    <row r="19" spans="2:11" x14ac:dyDescent="0.3">
      <c r="J19" s="49" t="s">
        <v>676</v>
      </c>
      <c r="K19" s="49" t="s">
        <v>676</v>
      </c>
    </row>
    <row r="20" spans="2:11" x14ac:dyDescent="0.3">
      <c r="B20" s="53" t="s">
        <v>738</v>
      </c>
      <c r="C20" s="54">
        <f>IFERROR((HistoriacalIFLS!C24-HistoriacalIFLS!C30)/SUM(HistoriacalIFLS!C54:C56),0)</f>
        <v>0.12404224231121037</v>
      </c>
      <c r="D20" s="54">
        <f>IFERROR((HistoriacalIFLS!D24-HistoriacalIFLS!D30)/SUM(HistoriacalIFLS!D54:D56),0)</f>
        <v>0.10937116355203928</v>
      </c>
      <c r="E20" s="54">
        <f>IFERROR((HistoriacalIFLS!E24-HistoriacalIFLS!E30)/SUM(HistoriacalIFLS!E54:E56),0)</f>
        <v>9.7647058823529406E-2</v>
      </c>
      <c r="F20" s="54">
        <f>IFERROR((HistoriacalIFLS!F24-HistoriacalIFLS!F30)/SUM(HistoriacalIFLS!F54:F56),0)</f>
        <v>0.11258990813347154</v>
      </c>
      <c r="G20" s="54">
        <f>IFERROR((HistoriacalIFLS!G24-HistoriacalIFLS!G30)/SUM(HistoriacalIFLS!G54:G56),0)</f>
        <v>0.12860116355184867</v>
      </c>
      <c r="H20" s="54">
        <f>IFERROR((HistoriacalIFLS!H24-HistoriacalIFLS!H30)/SUM(HistoriacalIFLS!H54:H56),0)</f>
        <v>9.8101612373338837E-2</v>
      </c>
      <c r="I20" s="53"/>
      <c r="J20" s="49">
        <f>IFERROR(AVERAGE(C20:H20),0)</f>
        <v>0.11172552479090635</v>
      </c>
      <c r="K20" s="49">
        <f>IFERROR(MEDIAN(C20:H20),0)</f>
        <v>0.11098053584275541</v>
      </c>
    </row>
    <row r="21" spans="2:11" x14ac:dyDescent="0.3">
      <c r="B21" t="s">
        <v>739</v>
      </c>
      <c r="C21" s="50">
        <f>IFERROR(HistoriacalIFLS!C50,0)</f>
        <v>0.94084368884540115</v>
      </c>
      <c r="D21" s="50">
        <f>IFERROR(HistoriacalIFLS!D50,0)</f>
        <v>0.94702497261774365</v>
      </c>
      <c r="E21" s="50">
        <f>IFERROR(HistoriacalIFLS!E50,0)</f>
        <v>0.64510553992906938</v>
      </c>
      <c r="F21" s="50">
        <f>IFERROR(HistoriacalIFLS!F50,0)</f>
        <v>0.95474719311377243</v>
      </c>
      <c r="G21" s="50">
        <f>IFERROR(HistoriacalIFLS!G50,0)</f>
        <v>0.96171136795440149</v>
      </c>
      <c r="H21" s="50">
        <f>IFERROR(HistoriacalIFLS!H50,0)</f>
        <v>0.45578130114566284</v>
      </c>
      <c r="J21" s="49">
        <f>IFERROR(AVERAGE(C21:H21),0)</f>
        <v>0.81753567726767518</v>
      </c>
      <c r="K21" s="49">
        <f>IFERROR(MEDIAN(C21:H21),0)</f>
        <v>0.9439343307315724</v>
      </c>
    </row>
    <row r="22" spans="2:11" x14ac:dyDescent="0.3">
      <c r="B22" t="s">
        <v>740</v>
      </c>
      <c r="C22" s="50">
        <f>IFERROR((HistoriacalIFLS!C39/SUM(HistoriacalIFLS!C54:C55)),0)</f>
        <v>9.8519080842039308E-2</v>
      </c>
      <c r="D22" s="50">
        <f>IFERROR((HistoriacalIFLS!D39/SUM(HistoriacalIFLS!D54:D55)),0)</f>
        <v>9.8606760989307707E-2</v>
      </c>
      <c r="E22" s="50">
        <f>IFERROR((HistoriacalIFLS!E39/SUM(HistoriacalIFLS!E54:E55)),0)</f>
        <v>8.1054290613879448E-2</v>
      </c>
      <c r="F22" s="50">
        <f>IFERROR((HistoriacalIFLS!F39/SUM(HistoriacalIFLS!F54:F55)),0)</f>
        <v>9.5947717112232253E-2</v>
      </c>
      <c r="G22" s="50">
        <f>IFERROR((HistoriacalIFLS!G39/SUM(HistoriacalIFLS!G54:G55)),0)</f>
        <v>0.10187425400819382</v>
      </c>
      <c r="H22" s="50">
        <f>IFERROR((HistoriacalIFLS!H39/SUM(HistoriacalIFLS!H54:H55)),0)</f>
        <v>7.3126580195383206E-2</v>
      </c>
      <c r="J22" s="49">
        <f>IFERROR(AVERAGE(C22:H22),0)</f>
        <v>9.1521447293505961E-2</v>
      </c>
      <c r="K22" s="49">
        <f>IFERROR(MEDIAN(C22:H22),0)</f>
        <v>9.7233398977135788E-2</v>
      </c>
    </row>
    <row r="23" spans="2:11" x14ac:dyDescent="0.3">
      <c r="B23" t="s">
        <v>741</v>
      </c>
      <c r="C23" s="50">
        <f>IFERROR(C21*C22,0)</f>
        <v>9.2691055441082554E-2</v>
      </c>
      <c r="D23" s="50">
        <f>IFERROR(D21*D22,0)</f>
        <v>9.3383065125823519E-2</v>
      </c>
      <c r="E23" s="50">
        <f>IFERROR(E21*E22,0)</f>
        <v>5.2288571910034401E-2</v>
      </c>
      <c r="F23" s="50">
        <f>IFERROR(F21*F22,0)</f>
        <v>9.1605813598578015E-2</v>
      </c>
      <c r="G23" s="50">
        <f>IFERROR(G21*G22,0)</f>
        <v>9.7973628181554251E-2</v>
      </c>
      <c r="H23" s="50">
        <f t="shared" ref="H23" si="0">IFERROR(H21*H22,0)</f>
        <v>3.3329727869784415E-2</v>
      </c>
      <c r="J23" s="49">
        <f>IFERROR(AVERAGE(C23:H23),0)</f>
        <v>7.6878643687809514E-2</v>
      </c>
      <c r="K23" s="49">
        <f>IFERROR(MEDIAN(C23:H23),0)</f>
        <v>9.2148434519830291E-2</v>
      </c>
    </row>
    <row r="24" spans="2:11" x14ac:dyDescent="0.3">
      <c r="B24" t="s">
        <v>760</v>
      </c>
      <c r="C24" s="50">
        <f>IFERROR(SUM(HistoriacalIFLS!C33,HistoriacalIFLS!C27)/(HistoriacalIFLS!C76),0)</f>
        <v>0.10620315090367266</v>
      </c>
      <c r="D24" s="50">
        <f>IFERROR(SUM(HistoriacalIFLS!D33,HistoriacalIFLS!D27)/(HistoriacalIFLS!D76),0)</f>
        <v>9.3203657780533161E-2</v>
      </c>
      <c r="E24" s="50">
        <f>IFERROR(SUM(HistoriacalIFLS!E33,HistoriacalIFLS!E27)/(HistoriacalIFLS!E76),0)</f>
        <v>8.3411734519329456E-2</v>
      </c>
      <c r="F24" s="50">
        <f>IFERROR(SUM(HistoriacalIFLS!F33,HistoriacalIFLS!F27)/(HistoriacalIFLS!F76),0)</f>
        <v>9.1304598918128088E-2</v>
      </c>
      <c r="G24" s="50">
        <f>IFERROR(SUM(HistoriacalIFLS!G33,HistoriacalIFLS!G27)/(HistoriacalIFLS!G76),0)</f>
        <v>0.10524193305686134</v>
      </c>
      <c r="H24" s="50">
        <f>IFERROR(SUM(HistoriacalIFLS!H33,HistoriacalIFLS!H27)/(HistoriacalIFLS!H76),0)</f>
        <v>8.0304364562515496E-2</v>
      </c>
      <c r="J24" s="49"/>
      <c r="K24" s="49"/>
    </row>
    <row r="25" spans="2:11" x14ac:dyDescent="0.3">
      <c r="B25" s="55" t="s">
        <v>742</v>
      </c>
      <c r="C25" s="57">
        <f>IFERROR((HistoriacalIFLS!C24-HistoriacalIFLS!C30)/(HistoriacalIFLS!C11),0)</f>
        <v>0.198234456573327</v>
      </c>
      <c r="D25" s="57">
        <f>IFERROR((HistoriacalIFLS!D24-HistoriacalIFLS!D30)/(HistoriacalIFLS!D11),0)</f>
        <v>0.20536857742943496</v>
      </c>
      <c r="E25" s="57">
        <f>IFERROR((HistoriacalIFLS!E24-HistoriacalIFLS!E30)/(HistoriacalIFLS!E11),0)</f>
        <v>0.18402390125009827</v>
      </c>
      <c r="F25" s="57">
        <f>IFERROR((HistoriacalIFLS!F24-HistoriacalIFLS!F30)/(HistoriacalIFLS!F11),0)</f>
        <v>0.18330670926517573</v>
      </c>
      <c r="G25" s="57">
        <f>IFERROR((HistoriacalIFLS!G24-HistoriacalIFLS!G30)/(HistoriacalIFLS!G11),0)</f>
        <v>0.21570973870561819</v>
      </c>
      <c r="H25" s="57">
        <f>IFERROR((HistoriacalIFLS!H24-HistoriacalIFLS!H30)/(HistoriacalIFLS!H11),0)</f>
        <v>0.18686118848084027</v>
      </c>
      <c r="I25" s="55"/>
      <c r="J25" s="49">
        <f>IFERROR(AVERAGE(C25:H25),0)</f>
        <v>0.19558409528408238</v>
      </c>
      <c r="K25" s="49">
        <f>IFERROR(MEDIAN(C25:H25),0)</f>
        <v>0.19254782252708363</v>
      </c>
    </row>
    <row r="26" spans="2:11" x14ac:dyDescent="0.3">
      <c r="J26" s="49" t="s">
        <v>676</v>
      </c>
      <c r="K26" s="49" t="s">
        <v>676</v>
      </c>
    </row>
    <row r="27" spans="2:11" x14ac:dyDescent="0.3">
      <c r="B27" s="53" t="s">
        <v>743</v>
      </c>
      <c r="C27" s="58">
        <f>IFERROR(HistoriacalIFLS!C7/HistoriacalIFLS!C69,0)</f>
        <v>11.087259224878162</v>
      </c>
      <c r="D27" s="58">
        <f>IFERROR(HistoriacalIFLS!D7/HistoriacalIFLS!D69,0)</f>
        <v>6.9330291236075698</v>
      </c>
      <c r="E27" s="58">
        <f>IFERROR(HistoriacalIFLS!E7/HistoriacalIFLS!E69,0)</f>
        <v>10.007607192254495</v>
      </c>
      <c r="F27" s="58">
        <f>IFERROR(HistoriacalIFLS!F7/HistoriacalIFLS!F69,0)</f>
        <v>10.303279894102074</v>
      </c>
      <c r="G27" s="58">
        <f>IFERROR(HistoriacalIFLS!G7/HistoriacalIFLS!G69,0)</f>
        <v>9.7311095983662348</v>
      </c>
      <c r="H27" s="58">
        <f>IFERROR(HistoriacalIFLS!H7/HistoriacalIFLS!H69,0)</f>
        <v>12.189480782198247</v>
      </c>
      <c r="I27" s="53"/>
      <c r="J27" s="49">
        <f t="shared" ref="J27:J32" si="1">IFERROR(AVERAGE(C27:H27),0)</f>
        <v>10.041960969234465</v>
      </c>
      <c r="K27" s="49">
        <f t="shared" ref="K27:K32" si="2">IFERROR(MEDIAN(C27:H27),0)</f>
        <v>10.155443543178285</v>
      </c>
    </row>
    <row r="28" spans="2:11" x14ac:dyDescent="0.3">
      <c r="B28" t="s">
        <v>744</v>
      </c>
      <c r="C28" s="59">
        <f>IFERROR(HistoriacalIFLS!C7/HistoriacalIFLS!C59,0)</f>
        <v>5.3625547199461217</v>
      </c>
      <c r="D28" s="59">
        <f>IFERROR(HistoriacalIFLS!D7/HistoriacalIFLS!D59,0)</f>
        <v>4.6090292648108493</v>
      </c>
      <c r="E28" s="59">
        <f>IFERROR(HistoriacalIFLS!E7/HistoriacalIFLS!E59,0)</f>
        <v>5.2727272727272725</v>
      </c>
      <c r="F28" s="59">
        <f>IFERROR(HistoriacalIFLS!F7/HistoriacalIFLS!F59,0)</f>
        <v>5.7068839103869653</v>
      </c>
      <c r="G28" s="59">
        <f>IFERROR(HistoriacalIFLS!G7/HistoriacalIFLS!G59,0)</f>
        <v>6.4374493380167523</v>
      </c>
      <c r="H28" s="59">
        <f>IFERROR(HistoriacalIFLS!H7/HistoriacalIFLS!H59,0)</f>
        <v>7.7658683277843412</v>
      </c>
      <c r="J28" s="49">
        <f t="shared" si="1"/>
        <v>5.8590854722787178</v>
      </c>
      <c r="K28" s="49">
        <f t="shared" si="2"/>
        <v>5.5347193151665435</v>
      </c>
    </row>
    <row r="29" spans="2:11" x14ac:dyDescent="0.3">
      <c r="B29" t="s">
        <v>745</v>
      </c>
      <c r="C29" s="59">
        <f>IFERROR(HistoriacalIFLS!C7/HistoriacalIFLS!C70,0)</f>
        <v>8.1722545330140264</v>
      </c>
      <c r="D29" s="59">
        <f>IFERROR(HistoriacalIFLS!D7/HistoriacalIFLS!D70,0)</f>
        <v>8.9404638283142948</v>
      </c>
      <c r="E29" s="59">
        <f>IFERROR(HistoriacalIFLS!E7/HistoriacalIFLS!E70,0)</f>
        <v>6.7181987000928505</v>
      </c>
      <c r="F29" s="59">
        <f>IFERROR(HistoriacalIFLS!F7/HistoriacalIFLS!F70,0)</f>
        <v>8.6816210187135958</v>
      </c>
      <c r="G29" s="59">
        <f>IFERROR(HistoriacalIFLS!G7/HistoriacalIFLS!G70,0)</f>
        <v>11.16447985004686</v>
      </c>
      <c r="H29" s="59">
        <f>IFERROR(HistoriacalIFLS!H7/HistoriacalIFLS!H70,0)</f>
        <v>10.157044528725944</v>
      </c>
      <c r="J29" s="49">
        <f t="shared" si="1"/>
        <v>8.9723437431512618</v>
      </c>
      <c r="K29" s="49">
        <f t="shared" si="2"/>
        <v>8.8110424235139462</v>
      </c>
    </row>
    <row r="30" spans="2:11" x14ac:dyDescent="0.3">
      <c r="B30" t="s">
        <v>746</v>
      </c>
      <c r="C30" s="59">
        <f>IFERROR(HistoriacalIFLS!C7/HistoriacalIFLS!C63,0)</f>
        <v>6.9581998252257504</v>
      </c>
      <c r="D30" s="59">
        <f>IFERROR(HistoriacalIFLS!D7/HistoriacalIFLS!D63,0)</f>
        <v>8.3697342838626057</v>
      </c>
      <c r="E30" s="59">
        <f>IFERROR(HistoriacalIFLS!E7/HistoriacalIFLS!E63,0)</f>
        <v>6.5060132628976062</v>
      </c>
      <c r="F30" s="59">
        <f>IFERROR(HistoriacalIFLS!F7/HistoriacalIFLS!F63,0)</f>
        <v>7.1532727458388647</v>
      </c>
      <c r="G30" s="59">
        <f>IFERROR(HistoriacalIFLS!G7/HistoriacalIFLS!G63,0)</f>
        <v>7.350370218017277</v>
      </c>
      <c r="H30" s="59">
        <f>IFERROR(HistoriacalIFLS!H7/HistoriacalIFLS!H63,0)</f>
        <v>7.5281624154086417</v>
      </c>
      <c r="J30" s="49">
        <f t="shared" si="1"/>
        <v>7.3109587918751258</v>
      </c>
      <c r="K30" s="49">
        <f t="shared" si="2"/>
        <v>7.2518214819280704</v>
      </c>
    </row>
    <row r="31" spans="2:11" x14ac:dyDescent="0.3">
      <c r="B31" s="68" t="s">
        <v>761</v>
      </c>
      <c r="C31" s="59">
        <f>IFERROR(SUM(HistoriacalIFLS!C54:C55)/(HistoriacalIFLS!C76),0)</f>
        <v>0.84406179758139155</v>
      </c>
      <c r="D31" s="59">
        <f>IFERROR(SUM(HistoriacalIFLS!D54:D55)/(HistoriacalIFLS!D76),0)</f>
        <v>0.71752944823310605</v>
      </c>
      <c r="E31" s="59">
        <f>IFERROR(SUM(HistoriacalIFLS!E54:E55)/(HistoriacalIFLS!E76),0)</f>
        <v>0.71903153153153154</v>
      </c>
      <c r="F31" s="59">
        <f>IFERROR(SUM(HistoriacalIFLS!F54:F55)/(HistoriacalIFLS!F76),0)</f>
        <v>0.71479264121765129</v>
      </c>
      <c r="G31" s="59">
        <f>IFERROR(SUM(HistoriacalIFLS!G54:G55)/(HistoriacalIFLS!G76),0)</f>
        <v>0.7463299245821321</v>
      </c>
      <c r="H31" s="59">
        <f>IFERROR(SUM(HistoriacalIFLS!H54:H55)/(HistoriacalIFLS!H76),0)</f>
        <v>0.70494249661201958</v>
      </c>
      <c r="J31" s="49">
        <f t="shared" si="1"/>
        <v>0.74111463995963867</v>
      </c>
      <c r="K31" s="49">
        <f t="shared" si="2"/>
        <v>0.71828048988231874</v>
      </c>
    </row>
    <row r="32" spans="2:11" x14ac:dyDescent="0.3">
      <c r="B32" s="55" t="s">
        <v>747</v>
      </c>
      <c r="C32" s="57">
        <f>IFERROR(HistoriacalIFLS!C7/SUM(HistoriacalIFLS!C54:C55),0)</f>
        <v>0.57567870440660807</v>
      </c>
      <c r="D32" s="57">
        <f>IFERROR(HistoriacalIFLS!D7/SUM(HistoriacalIFLS!D54:D55),0)</f>
        <v>0.55792202181661088</v>
      </c>
      <c r="E32" s="57">
        <f>IFERROR(HistoriacalIFLS!E7/SUM(HistoriacalIFLS!E54:E55),0)</f>
        <v>0.57377357929482664</v>
      </c>
      <c r="F32" s="57">
        <f>IFERROR(HistoriacalIFLS!F7/SUM(HistoriacalIFLS!F54:F55),0)</f>
        <v>0.62886690486022589</v>
      </c>
      <c r="G32" s="57">
        <f>IFERROR(HistoriacalIFLS!G7/SUM(HistoriacalIFLS!G54:G55),0)</f>
        <v>0.57642988483499469</v>
      </c>
      <c r="H32" s="57">
        <f>IFERROR(HistoriacalIFLS!H7/SUM(HistoriacalIFLS!H54:H55),0)</f>
        <v>0.54087937405562292</v>
      </c>
      <c r="I32" s="55"/>
      <c r="J32" s="49">
        <f t="shared" si="1"/>
        <v>0.57559174487814813</v>
      </c>
      <c r="K32" s="49">
        <f t="shared" si="2"/>
        <v>0.57472614185071735</v>
      </c>
    </row>
    <row r="33" spans="2:11" x14ac:dyDescent="0.3">
      <c r="C33" s="60"/>
      <c r="D33" s="60"/>
      <c r="E33" s="60"/>
      <c r="F33" s="60"/>
      <c r="G33" s="60"/>
      <c r="H33" s="60"/>
      <c r="J33" s="49" t="s">
        <v>676</v>
      </c>
      <c r="K33" s="49" t="s">
        <v>676</v>
      </c>
    </row>
    <row r="34" spans="2:11" x14ac:dyDescent="0.3">
      <c r="B34" t="s">
        <v>748</v>
      </c>
      <c r="J34" s="49" t="s">
        <v>676</v>
      </c>
      <c r="K34" s="49" t="s">
        <v>676</v>
      </c>
    </row>
    <row r="35" spans="2:11" x14ac:dyDescent="0.3">
      <c r="B35" s="53" t="s">
        <v>749</v>
      </c>
      <c r="C35" s="61">
        <f t="shared" ref="C35:H37" si="3">IFERROR(365/C27,0)</f>
        <v>32.92066980638409</v>
      </c>
      <c r="D35" s="61">
        <f t="shared" si="3"/>
        <v>52.646540710054587</v>
      </c>
      <c r="E35" s="61">
        <f t="shared" si="3"/>
        <v>36.472254854536658</v>
      </c>
      <c r="F35" s="61">
        <f t="shared" si="3"/>
        <v>35.425612402215499</v>
      </c>
      <c r="G35" s="61">
        <f t="shared" si="3"/>
        <v>37.50856942987059</v>
      </c>
      <c r="H35" s="61">
        <f t="shared" si="3"/>
        <v>29.943851302760415</v>
      </c>
      <c r="I35" s="53"/>
      <c r="J35" s="49">
        <f>IFERROR(AVERAGE(C35:H35),0)</f>
        <v>37.486249750970309</v>
      </c>
      <c r="K35" s="49">
        <f>IFERROR(MEDIAN(C35:H35),0)</f>
        <v>35.948933628376082</v>
      </c>
    </row>
    <row r="36" spans="2:11" x14ac:dyDescent="0.3">
      <c r="B36" t="s">
        <v>750</v>
      </c>
      <c r="C36" s="62">
        <f t="shared" si="3"/>
        <v>68.064573521716383</v>
      </c>
      <c r="D36" s="62">
        <f t="shared" si="3"/>
        <v>79.192380657400605</v>
      </c>
      <c r="E36" s="62">
        <f t="shared" si="3"/>
        <v>69.224137931034491</v>
      </c>
      <c r="F36" s="62">
        <f t="shared" si="3"/>
        <v>63.957845600411126</v>
      </c>
      <c r="G36" s="62">
        <f t="shared" si="3"/>
        <v>56.699475341028332</v>
      </c>
      <c r="H36" s="62">
        <f t="shared" si="3"/>
        <v>47.000539359406979</v>
      </c>
      <c r="J36" s="49">
        <f>IFERROR(AVERAGE(C36:H36),0)</f>
        <v>64.023158735166319</v>
      </c>
      <c r="K36" s="49">
        <f>IFERROR(MEDIAN(C36:H36),0)</f>
        <v>66.011209561063751</v>
      </c>
    </row>
    <row r="37" spans="2:11" x14ac:dyDescent="0.3">
      <c r="B37" t="s">
        <v>751</v>
      </c>
      <c r="C37" s="62">
        <f t="shared" si="3"/>
        <v>44.663317634746207</v>
      </c>
      <c r="D37" s="62">
        <f t="shared" si="3"/>
        <v>40.825622362460805</v>
      </c>
      <c r="E37" s="62">
        <f t="shared" si="3"/>
        <v>54.330039389123073</v>
      </c>
      <c r="F37" s="62">
        <f t="shared" si="3"/>
        <v>42.042839604864952</v>
      </c>
      <c r="G37" s="62">
        <f t="shared" si="3"/>
        <v>32.692969569779649</v>
      </c>
      <c r="H37" s="62">
        <f t="shared" si="3"/>
        <v>35.935650273828628</v>
      </c>
      <c r="J37" s="49">
        <f>IFERROR(AVERAGE(C37:H37),0)</f>
        <v>41.748406472467217</v>
      </c>
      <c r="K37" s="49">
        <f>IFERROR(MEDIAN(C37:H37),0)</f>
        <v>41.434230983662879</v>
      </c>
    </row>
    <row r="38" spans="2:11" x14ac:dyDescent="0.3">
      <c r="B38" s="55" t="s">
        <v>752</v>
      </c>
      <c r="C38" s="63">
        <f>IFERROR(SUM(C35,C37)-C36,0)</f>
        <v>9.5194139194139069</v>
      </c>
      <c r="D38" s="63">
        <f t="shared" ref="D38:H38" si="4">IFERROR(SUM(D35,D37)-D36,0)</f>
        <v>14.279782415114795</v>
      </c>
      <c r="E38" s="63">
        <f t="shared" si="4"/>
        <v>21.578156312625239</v>
      </c>
      <c r="F38" s="63">
        <f t="shared" si="4"/>
        <v>13.510606406669332</v>
      </c>
      <c r="G38" s="63">
        <f t="shared" si="4"/>
        <v>13.502063658621907</v>
      </c>
      <c r="H38" s="63">
        <f t="shared" si="4"/>
        <v>18.878962217182057</v>
      </c>
      <c r="I38" s="55"/>
      <c r="J38" s="49">
        <f>IFERROR(AVERAGE(C38:H38),0)</f>
        <v>15.211497488271206</v>
      </c>
      <c r="K38" s="49">
        <f>IFERROR(MEDIAN(C38:H38),0)</f>
        <v>13.895194410892064</v>
      </c>
    </row>
    <row r="39" spans="2:11" x14ac:dyDescent="0.3">
      <c r="J39" s="49" t="s">
        <v>676</v>
      </c>
      <c r="K39" s="49" t="s">
        <v>676</v>
      </c>
    </row>
    <row r="40" spans="2:11" x14ac:dyDescent="0.3">
      <c r="B40" s="53" t="s">
        <v>753</v>
      </c>
      <c r="C40" s="54">
        <f>IFERROR(HistoriacalIFLS!C88/HistoriacalIFLS!C7,0)</f>
        <v>7.8032443746729463E-2</v>
      </c>
      <c r="D40" s="54">
        <f>IFERROR(HistoriacalIFLS!D88/HistoriacalIFLS!D7,0)</f>
        <v>9.04022610244299E-2</v>
      </c>
      <c r="E40" s="54">
        <f>IFERROR(HistoriacalIFLS!E88/HistoriacalIFLS!E7,0)</f>
        <v>5.3918181189966143E-2</v>
      </c>
      <c r="F40" s="54">
        <f>IFERROR(HistoriacalIFLS!F88/HistoriacalIFLS!F7,0)</f>
        <v>9.8127105578712959E-2</v>
      </c>
      <c r="G40" s="54">
        <f>IFERROR(HistoriacalIFLS!G88/HistoriacalIFLS!G7,0)</f>
        <v>0.12061559986009095</v>
      </c>
      <c r="H40" s="54">
        <f>IFERROR(HistoriacalIFLS!H88/HistoriacalIFLS!H7,0)</f>
        <v>6.303590197488522E-2</v>
      </c>
      <c r="I40" s="53"/>
      <c r="J40" s="49">
        <f>IFERROR(AVERAGE(C40:H40),0)</f>
        <v>8.4021915562469088E-2</v>
      </c>
      <c r="K40" s="49">
        <f>IFERROR(MEDIAN(C40:H40),0)</f>
        <v>8.4217352385579675E-2</v>
      </c>
    </row>
    <row r="41" spans="2:11" x14ac:dyDescent="0.3">
      <c r="B41" t="s">
        <v>754</v>
      </c>
      <c r="C41" s="50">
        <f>IFERROR(HistoriacalIFLS!C88/HistoriacalIFLS!C76,0)</f>
        <v>3.7916620050650419E-2</v>
      </c>
      <c r="D41" s="50">
        <f>IFERROR(HistoriacalIFLS!D88/HistoriacalIFLS!D76,0)</f>
        <v>3.6190328580285182E-2</v>
      </c>
      <c r="E41" s="50">
        <f>IFERROR(HistoriacalIFLS!E88/HistoriacalIFLS!E76,0)</f>
        <v>2.2244554681263542E-2</v>
      </c>
      <c r="F41" s="50">
        <f>IFERROR(HistoriacalIFLS!F88/HistoriacalIFLS!F76,0)</f>
        <v>4.4109059875129135E-2</v>
      </c>
      <c r="G41" s="50">
        <f>IFERROR(HistoriacalIFLS!G88/HistoriacalIFLS!G76,0)</f>
        <v>5.1889659987600895E-2</v>
      </c>
      <c r="H41" s="50">
        <f>IFERROR(HistoriacalIFLS!H88/HistoriacalIFLS!H76,0)</f>
        <v>2.4034886970644535E-2</v>
      </c>
      <c r="J41" s="49">
        <f>IFERROR(AVERAGE(C41:H41),0)</f>
        <v>3.6064185024262285E-2</v>
      </c>
      <c r="K41" s="49">
        <f>IFERROR(MEDIAN(C41:H41),0)</f>
        <v>3.7053474315467801E-2</v>
      </c>
    </row>
    <row r="42" spans="2:11" x14ac:dyDescent="0.3">
      <c r="B42" s="55" t="s">
        <v>755</v>
      </c>
      <c r="C42" s="56">
        <f>IFERROR(HistoriacalIFLS!C88/SUM(HistoriacalIFLS!C56,HistoriacalIFLS!C58),0)</f>
        <v>1.3571168547506371</v>
      </c>
      <c r="D42" s="56">
        <f>IFERROR(HistoriacalIFLS!D88/SUM(HistoriacalIFLS!D56,HistoriacalIFLS!D58),0)</f>
        <v>0.23820453965825045</v>
      </c>
      <c r="E42" s="56">
        <f>IFERROR(HistoriacalIFLS!E88/SUM(HistoriacalIFLS!E56,HistoriacalIFLS!E58),0)</f>
        <v>0.1429749415914609</v>
      </c>
      <c r="F42" s="56">
        <f>IFERROR(HistoriacalIFLS!F88/SUM(HistoriacalIFLS!F56,HistoriacalIFLS!F58),0)</f>
        <v>0.2767867928326958</v>
      </c>
      <c r="G42" s="56">
        <f>IFERROR(HistoriacalIFLS!G88/SUM(HistoriacalIFLS!G56,HistoriacalIFLS!G58),0)</f>
        <v>0.37484238445149787</v>
      </c>
      <c r="H42" s="56">
        <f>IFERROR(HistoriacalIFLS!H88/SUM(HistoriacalIFLS!H56,HistoriacalIFLS!H58),0)</f>
        <v>0.12004213853041876</v>
      </c>
      <c r="I42" s="55"/>
      <c r="J42" s="64">
        <f>IFERROR(AVERAGE(C42:H42),0)</f>
        <v>0.41832794196916018</v>
      </c>
      <c r="K42" s="64">
        <f>IFERROR(MEDIAN(C42:H42),0)</f>
        <v>0.25749566624547315</v>
      </c>
    </row>
    <row r="43" spans="2:11" x14ac:dyDescent="0.3">
      <c r="B43" s="65" t="s">
        <v>756</v>
      </c>
      <c r="C43" s="67">
        <f>IFERROR(SUM(HistoriacalIFLS!C56,HistoriacalIFLS!C58)/SUM(HistoriacalIFLS!C54:C55),0)</f>
        <v>3.3100772391521767E-2</v>
      </c>
      <c r="D43" s="67">
        <f>IFERROR(SUM(HistoriacalIFLS!D56,HistoriacalIFLS!D58)/SUM(HistoriacalIFLS!D54:D55),0)</f>
        <v>0.21173992871800409</v>
      </c>
      <c r="E43" s="67">
        <f>IFERROR(SUM(HistoriacalIFLS!E56,HistoriacalIFLS!E58)/SUM(HistoriacalIFLS!E54:E55),0)</f>
        <v>0.21637937016147418</v>
      </c>
      <c r="F43" s="67">
        <f>IFERROR(SUM(HistoriacalIFLS!F56,HistoriacalIFLS!F58)/SUM(HistoriacalIFLS!F54:F55),0)</f>
        <v>0.22294737598075301</v>
      </c>
      <c r="G43" s="67">
        <f>IFERROR(SUM(HistoriacalIFLS!G56,HistoriacalIFLS!G58)/SUM(HistoriacalIFLS!G54:G55),0)</f>
        <v>0.18548178973515275</v>
      </c>
      <c r="H43" s="67">
        <f>IFERROR(SUM(HistoriacalIFLS!H56,HistoriacalIFLS!H58)/SUM(HistoriacalIFLS!H54:H55),0)</f>
        <v>0.28402375716230571</v>
      </c>
      <c r="I43" s="55"/>
      <c r="J43" s="64">
        <f>IFERROR(AVERAGE(C43:H43),0)</f>
        <v>0.1922788323582019</v>
      </c>
      <c r="K43" s="64">
        <f>IFERROR(MEDIAN(C43:H43),0)</f>
        <v>0.21405964943973915</v>
      </c>
    </row>
    <row r="44" spans="2:11" x14ac:dyDescent="0.3">
      <c r="B44" s="69" t="s">
        <v>762</v>
      </c>
      <c r="I44" s="55"/>
      <c r="J44" s="64">
        <f t="shared" ref="J44:J59" si="5">IFERROR(AVERAGE(C44:H44),0)</f>
        <v>0</v>
      </c>
      <c r="K44" s="64">
        <f t="shared" ref="K44:K59" si="6">IFERROR(MEDIAN(C44:H44),0)</f>
        <v>0</v>
      </c>
    </row>
    <row r="45" spans="2:11" x14ac:dyDescent="0.3">
      <c r="B45" s="72" t="s">
        <v>763</v>
      </c>
      <c r="C45" s="73" cm="1">
        <f t="array" ref="C45">IFERROR(SUM(HistoriacalIFLS!C74-HistoriacalIFLS!C58:C60),0)</f>
        <v>177859</v>
      </c>
      <c r="D45" s="73" cm="1">
        <f t="array" ref="D45">IFERROR(SUM(HistoriacalIFLS!D74-HistoriacalIFLS!D58:D60),0)</f>
        <v>199401</v>
      </c>
      <c r="E45" s="73" cm="1">
        <f t="array" ref="E45">IFERROR(SUM(HistoriacalIFLS!E74-HistoriacalIFLS!E58:E60),0)</f>
        <v>208976</v>
      </c>
      <c r="F45" s="73" cm="1">
        <f t="array" ref="F45">IFERROR(SUM(HistoriacalIFLS!F74-HistoriacalIFLS!F58:F60),0)</f>
        <v>251370</v>
      </c>
      <c r="G45" s="73" cm="1">
        <f t="array" ref="G45">IFERROR(SUM(HistoriacalIFLS!G74-HistoriacalIFLS!G58:G60),0)</f>
        <v>262761</v>
      </c>
      <c r="H45" s="73" cm="1">
        <f t="array" ref="H45">IFERROR(SUM(HistoriacalIFLS!H74-HistoriacalIFLS!H58:H60),0)</f>
        <v>254363</v>
      </c>
      <c r="I45" s="55"/>
      <c r="J45" s="64">
        <f t="shared" si="5"/>
        <v>225788.33333333334</v>
      </c>
      <c r="K45" s="64">
        <f t="shared" si="6"/>
        <v>230173</v>
      </c>
    </row>
    <row r="46" spans="2:11" x14ac:dyDescent="0.3">
      <c r="B46" s="70" t="s">
        <v>764</v>
      </c>
      <c r="C46" s="71">
        <f>IFERROR(HistoriacalIFLS!C74/SUM(HistoriacalIFLS!C58:C60),0)</f>
        <v>5.0479522862823059</v>
      </c>
      <c r="D46" s="71">
        <f>IFERROR(HistoriacalIFLS!D74/SUM(HistoriacalIFLS!D58:D60),0)</f>
        <v>4.3866934992072206</v>
      </c>
      <c r="E46" s="71">
        <f>IFERROR(HistoriacalIFLS!E74/SUM(HistoriacalIFLS!E58:E60),0)</f>
        <v>4.0554100988511887</v>
      </c>
      <c r="F46" s="71">
        <f>IFERROR(HistoriacalIFLS!F74/SUM(HistoriacalIFLS!F58:F60),0)</f>
        <v>3.4550501099064865</v>
      </c>
      <c r="G46" s="71">
        <f>IFERROR(HistoriacalIFLS!G74/SUM(HistoriacalIFLS!G58:G60),0)</f>
        <v>3.5888715432649421</v>
      </c>
      <c r="H46" s="71">
        <f>IFERROR(HistoriacalIFLS!H74/SUM(HistoriacalIFLS!H58:H60),0)</f>
        <v>2.9443537708249932</v>
      </c>
      <c r="I46" s="55"/>
      <c r="J46" s="64">
        <f t="shared" si="5"/>
        <v>3.9130552180561895</v>
      </c>
      <c r="K46" s="64">
        <f t="shared" si="6"/>
        <v>3.8221408210580652</v>
      </c>
    </row>
    <row r="47" spans="2:11" x14ac:dyDescent="0.3">
      <c r="B47" s="55" t="s">
        <v>765</v>
      </c>
      <c r="C47" s="74">
        <f>IFERROR((HistoriacalIFLS!C74-HistoriacalIFLS!C70)/SUM(HistoriacalIFLS!C58:C60),0)</f>
        <v>4.5830616302186877</v>
      </c>
      <c r="D47" s="74">
        <f>IFERROR((HistoriacalIFLS!D74-HistoriacalIFLS!D70)/SUM(HistoriacalIFLS!D58:D60),0)</f>
        <v>4.0343334552994268</v>
      </c>
      <c r="E47" s="74">
        <f>IFERROR((HistoriacalIFLS!E74-HistoriacalIFLS!E70)/SUM(HistoriacalIFLS!E58:E60),0)</f>
        <v>3.5950307240181671</v>
      </c>
      <c r="F47" s="74">
        <f>IFERROR((HistoriacalIFLS!F74-HistoriacalIFLS!F70)/SUM(HistoriacalIFLS!F58:F60),0)</f>
        <v>3.1544279274244627</v>
      </c>
      <c r="G47" s="74">
        <f>IFERROR((HistoriacalIFLS!G74-HistoriacalIFLS!G70)/SUM(HistoriacalIFLS!G58:G60),0)</f>
        <v>3.3509143621766282</v>
      </c>
      <c r="H47" s="74">
        <f>IFERROR((HistoriacalIFLS!H74-HistoriacalIFLS!H70)/SUM(HistoriacalIFLS!H58:H60),0)</f>
        <v>2.7251254888676746</v>
      </c>
      <c r="I47" s="55"/>
      <c r="J47" s="64">
        <f t="shared" si="5"/>
        <v>3.5738155980008415</v>
      </c>
      <c r="K47" s="64">
        <f t="shared" si="6"/>
        <v>3.4729725430973977</v>
      </c>
    </row>
    <row r="48" spans="2:11" x14ac:dyDescent="0.3">
      <c r="I48" s="55"/>
      <c r="J48" s="64">
        <f t="shared" si="5"/>
        <v>0</v>
      </c>
      <c r="K48" s="64">
        <f t="shared" si="6"/>
        <v>0</v>
      </c>
    </row>
    <row r="49" spans="2:12" x14ac:dyDescent="0.3">
      <c r="B49" s="37" t="s">
        <v>766</v>
      </c>
      <c r="I49" s="55"/>
      <c r="J49" s="64">
        <f t="shared" si="5"/>
        <v>0</v>
      </c>
      <c r="K49" s="64">
        <f t="shared" si="6"/>
        <v>0</v>
      </c>
    </row>
    <row r="50" spans="2:12" x14ac:dyDescent="0.3">
      <c r="B50" s="53" t="s">
        <v>767</v>
      </c>
      <c r="C50" s="75">
        <f>IFERROR(HistoriacalIFLS!C76/SUM(HistoriacalIFLS!C54:C55),0)</f>
        <v>1.1847473761582861</v>
      </c>
      <c r="D50" s="75">
        <f>IFERROR(HistoriacalIFLS!D76/SUM(HistoriacalIFLS!D54:D55),0)</f>
        <v>1.3936710227886382</v>
      </c>
      <c r="E50" s="75">
        <f>IFERROR(HistoriacalIFLS!E76/SUM(HistoriacalIFLS!E54:E55),0)</f>
        <v>1.3907595927956147</v>
      </c>
      <c r="F50" s="75">
        <f>IFERROR(HistoriacalIFLS!F76/SUM(HistoriacalIFLS!F54:F55),0)</f>
        <v>1.3990071278524876</v>
      </c>
      <c r="G50" s="75">
        <f>IFERROR(HistoriacalIFLS!G76/SUM(HistoriacalIFLS!G54:G55),0)</f>
        <v>1.3398899964514985</v>
      </c>
      <c r="H50" s="75">
        <f>IFERROR(HistoriacalIFLS!H76/SUM(HistoriacalIFLS!H54:H55),0)</f>
        <v>1.4185554209116886</v>
      </c>
      <c r="I50" s="55"/>
      <c r="J50" s="64">
        <f t="shared" si="5"/>
        <v>1.3544384228263688</v>
      </c>
      <c r="K50" s="64">
        <f t="shared" si="6"/>
        <v>1.3922153077921264</v>
      </c>
    </row>
    <row r="51" spans="2:12" x14ac:dyDescent="0.3">
      <c r="B51" s="70" t="s">
        <v>768</v>
      </c>
      <c r="C51" s="76">
        <f>IFERROR(HistoriacalIFLS!C24/SUM(HistoriacalIFLS!C56,HistoriacalIFLS!C58),0)</f>
        <v>4.1492537313432836</v>
      </c>
      <c r="D51" s="76">
        <f>IFERROR(HistoriacalIFLS!D24/SUM(HistoriacalIFLS!D56,HistoriacalIFLS!D58),0)</f>
        <v>0.66008671257332319</v>
      </c>
      <c r="E51" s="76">
        <f>IFERROR(HistoriacalIFLS!E24/SUM(HistoriacalIFLS!E56,HistoriacalIFLS!E58),0)</f>
        <v>0.58147418571624898</v>
      </c>
      <c r="F51" s="76">
        <f>IFERROR(HistoriacalIFLS!F24/SUM(HistoriacalIFLS!F56,HistoriacalIFLS!F58),0)</f>
        <v>0.61928729615462053</v>
      </c>
      <c r="G51" s="76">
        <f>IFERROR(HistoriacalIFLS!G24/SUM(HistoriacalIFLS!G56,HistoriacalIFLS!G58),0)</f>
        <v>0.83981912257054658</v>
      </c>
      <c r="H51" s="76">
        <f>IFERROR(HistoriacalIFLS!H24/SUM(HistoriacalIFLS!H56,HistoriacalIFLS!H58),0)</f>
        <v>0.43560705820384515</v>
      </c>
      <c r="I51" s="55"/>
      <c r="J51" s="64">
        <f t="shared" si="5"/>
        <v>1.2142546844269781</v>
      </c>
      <c r="K51" s="64">
        <f t="shared" si="6"/>
        <v>0.63968700436397186</v>
      </c>
    </row>
    <row r="52" spans="2:12" x14ac:dyDescent="0.3">
      <c r="B52" s="55" t="s">
        <v>769</v>
      </c>
      <c r="C52" s="77">
        <f>IFERROR(SUM(HistoriacalIFLS!C56,HistoriacalIFLS!C58)-HistoriacalIFLS!C73,0)</f>
        <v>1397</v>
      </c>
      <c r="D52" s="77">
        <f>IFERROR(SUM(HistoriacalIFLS!D56,HistoriacalIFLS!D58)-HistoriacalIFLS!D73,0)</f>
        <v>18058</v>
      </c>
      <c r="E52" s="77">
        <f>IFERROR(SUM(HistoriacalIFLS!E56,HistoriacalIFLS!E58)-HistoriacalIFLS!E73,0)</f>
        <v>19087</v>
      </c>
      <c r="F52" s="77">
        <f>IFERROR(SUM(HistoriacalIFLS!F56,HistoriacalIFLS!F58)-HistoriacalIFLS!F73,0)</f>
        <v>23238</v>
      </c>
      <c r="G52" s="77">
        <f>IFERROR(SUM(HistoriacalIFLS!G56,HistoriacalIFLS!G58)-HistoriacalIFLS!G73,0)</f>
        <v>19690</v>
      </c>
      <c r="H52" s="77">
        <f>IFERROR(SUM(HistoriacalIFLS!H56,HistoriacalIFLS!H58)-HistoriacalIFLS!H73,0)</f>
        <v>34692</v>
      </c>
      <c r="I52" s="55"/>
      <c r="J52" s="64">
        <f t="shared" si="5"/>
        <v>19360.333333333332</v>
      </c>
      <c r="K52" s="64">
        <f t="shared" si="6"/>
        <v>19388.5</v>
      </c>
    </row>
    <row r="53" spans="2:12" x14ac:dyDescent="0.3">
      <c r="I53" s="55"/>
      <c r="J53" s="64">
        <f t="shared" si="5"/>
        <v>0</v>
      </c>
      <c r="K53" s="64">
        <f t="shared" si="6"/>
        <v>0</v>
      </c>
    </row>
    <row r="54" spans="2:12" x14ac:dyDescent="0.3">
      <c r="B54" s="37" t="s">
        <v>770</v>
      </c>
      <c r="I54" s="55"/>
      <c r="J54" s="64">
        <f t="shared" si="5"/>
        <v>0</v>
      </c>
      <c r="K54" s="64">
        <f t="shared" si="6"/>
        <v>0</v>
      </c>
    </row>
    <row r="55" spans="2:12" x14ac:dyDescent="0.3">
      <c r="B55" s="53" t="s">
        <v>771</v>
      </c>
      <c r="C55" s="82">
        <f>IFERROR(HistoriacalIFLS!C48,0)</f>
        <v>5.9156311154598823E-2</v>
      </c>
      <c r="D55" s="82">
        <f>IFERROR(HistoriacalIFLS!D48,0)</f>
        <v>5.2975027382256297E-2</v>
      </c>
      <c r="E55" s="82">
        <f>IFERROR(HistoriacalIFLS!E48,0)</f>
        <v>0.35489446007093062</v>
      </c>
      <c r="F55" s="82">
        <f>IFERROR(HistoriacalIFLS!F48,0)</f>
        <v>4.5252806886227542E-2</v>
      </c>
      <c r="G55" s="82">
        <f>IFERROR(HistoriacalIFLS!G48,0)</f>
        <v>3.8288632045598479E-2</v>
      </c>
      <c r="H55" s="82">
        <f>IFERROR(HistoriacalIFLS!H48,0)</f>
        <v>0.54421869885433716</v>
      </c>
      <c r="I55" s="55"/>
      <c r="J55" s="64">
        <f t="shared" si="5"/>
        <v>0.18246432273232482</v>
      </c>
      <c r="K55" s="64">
        <f t="shared" si="6"/>
        <v>5.6065669268427556E-2</v>
      </c>
    </row>
    <row r="56" spans="2:12" x14ac:dyDescent="0.3">
      <c r="B56" s="70" t="s">
        <v>772</v>
      </c>
      <c r="C56" s="76">
        <f>IFERROR(HistoriacalIFLS!C47/HistoriacalIFLS!C113,0)</f>
        <v>5.0838840874428068E-3</v>
      </c>
      <c r="D56" s="76">
        <f>IFERROR(HistoriacalIFLS!D47/HistoriacalIFLS!D113,0)</f>
        <v>2.4145840878908608E-3</v>
      </c>
      <c r="E56" s="76">
        <f>IFERROR(HistoriacalIFLS!E47/HistoriacalIFLS!E113,0)</f>
        <v>1.0136847440446021E-2</v>
      </c>
      <c r="F56" s="76">
        <f>IFERROR(HistoriacalIFLS!F47/HistoriacalIFLS!F113,0)</f>
        <v>2.7378507871321013E-3</v>
      </c>
      <c r="G56" s="76">
        <f>IFERROR(HistoriacalIFLS!G47/HistoriacalIFLS!G113,0)</f>
        <v>2.0828993959591752E-3</v>
      </c>
      <c r="H56" s="76">
        <f>IFERROR(HistoriacalIFLS!H47/HistoriacalIFLS!H113,0)</f>
        <v>4.1944709246901808E-2</v>
      </c>
      <c r="I56" s="55"/>
      <c r="J56" s="64">
        <f t="shared" si="5"/>
        <v>1.0733462507628794E-2</v>
      </c>
      <c r="K56" s="64">
        <f t="shared" si="6"/>
        <v>3.9108674372874538E-3</v>
      </c>
    </row>
    <row r="57" spans="2:12" s="130" customFormat="1" x14ac:dyDescent="0.3">
      <c r="B57" s="131" t="s">
        <v>826</v>
      </c>
      <c r="C57" s="116">
        <f>1-C55</f>
        <v>0.94084368884540115</v>
      </c>
      <c r="D57" s="116">
        <f t="shared" ref="D57:H57" si="7">1-D55</f>
        <v>0.94702497261774365</v>
      </c>
      <c r="E57" s="116">
        <f t="shared" si="7"/>
        <v>0.64510553992906938</v>
      </c>
      <c r="F57" s="116">
        <f t="shared" si="7"/>
        <v>0.95474719311377243</v>
      </c>
      <c r="G57" s="116">
        <f t="shared" si="7"/>
        <v>0.96171136795440149</v>
      </c>
      <c r="H57" s="116">
        <f t="shared" si="7"/>
        <v>0.45578130114566284</v>
      </c>
      <c r="I57" s="55"/>
      <c r="J57" s="64">
        <f t="shared" si="5"/>
        <v>0.81753567726767518</v>
      </c>
      <c r="K57" s="64">
        <f t="shared" si="6"/>
        <v>0.9439343307315724</v>
      </c>
    </row>
    <row r="58" spans="2:12" x14ac:dyDescent="0.3">
      <c r="B58" s="70" t="s">
        <v>774</v>
      </c>
      <c r="C58" s="76">
        <f>IFERROR(HistoriacalIFLS!C113/HistoriacalIFLS!C44,0)</f>
        <v>11.636046404109589</v>
      </c>
      <c r="D58" s="76">
        <f>IFERROR(HistoriacalIFLS!D113/HistoriacalIFLS!D44,0)</f>
        <v>21.939607590361444</v>
      </c>
      <c r="E58" s="76">
        <f>IFERROR(HistoriacalIFLS!E113/HistoriacalIFLS!E44,0)</f>
        <v>35.010338485997309</v>
      </c>
      <c r="F58" s="76">
        <f>IFERROR(HistoriacalIFLS!F113/HistoriacalIFLS!F44,0)</f>
        <v>16.528587715194611</v>
      </c>
      <c r="G58" s="76">
        <f>IFERROR(HistoriacalIFLS!G113/HistoriacalIFLS!G44,0)</f>
        <v>18.38237224509183</v>
      </c>
      <c r="H58" s="76">
        <f>IFERROR(HistoriacalIFLS!H113/HistoriacalIFLS!H44,0)</f>
        <v>12.974668524959084</v>
      </c>
      <c r="I58" s="55"/>
      <c r="J58" s="64">
        <f t="shared" si="5"/>
        <v>19.41193682761898</v>
      </c>
      <c r="K58" s="64">
        <f t="shared" si="6"/>
        <v>17.45547998014322</v>
      </c>
    </row>
    <row r="59" spans="2:12" x14ac:dyDescent="0.3">
      <c r="B59" s="70" t="s">
        <v>775</v>
      </c>
      <c r="C59" s="76">
        <f>IFERROR(C58/HistoriacalIFLS!$C$114,0)/$L$60</f>
        <v>0.7458018760768268</v>
      </c>
      <c r="D59" s="76">
        <f>IFERROR(D58/HistoriacalIFLS!$C$114,0)/$L$60</f>
        <v>1.406199316591076</v>
      </c>
      <c r="E59" s="76">
        <f>IFERROR(E58/HistoriacalIFLS!$C$114,0)/$L$60</f>
        <v>2.2439559982950725</v>
      </c>
      <c r="F59" s="76">
        <f>IFERROR(F58/HistoriacalIFLS!$C$114,0)/$L$60</f>
        <v>1.0593848888862194</v>
      </c>
      <c r="G59" s="76">
        <f>IFERROR(G58/HistoriacalIFLS!$C$114,0)/$L$60</f>
        <v>1.1782015326348434</v>
      </c>
      <c r="H59" s="76">
        <f>IFERROR(H58/HistoriacalIFLS!$C$114,0)/$L$60</f>
        <v>0.83159965088931798</v>
      </c>
      <c r="I59" s="55"/>
      <c r="J59" s="64">
        <f t="shared" si="5"/>
        <v>1.2441905438955594</v>
      </c>
      <c r="K59" s="64">
        <f t="shared" si="6"/>
        <v>1.1187932107605314</v>
      </c>
    </row>
    <row r="60" spans="2:12" x14ac:dyDescent="0.3">
      <c r="B60" s="55" t="s">
        <v>776</v>
      </c>
      <c r="C60" s="83">
        <f>IFERROR(C58/SUM(HistoriacalIFLS!$C$114,C56),0)/$L$60</f>
        <v>0.72226702499065132</v>
      </c>
      <c r="D60" s="83">
        <f>IFERROR(D58/SUM(HistoriacalIFLS!$C$114,D56),0)/$L$60</f>
        <v>1.3847685574570396</v>
      </c>
      <c r="E60" s="83">
        <f>IFERROR(E58/SUM(HistoriacalIFLS!$C$114,E56),0)/$L$60</f>
        <v>2.1070579023840121</v>
      </c>
      <c r="F60" s="83">
        <f>IFERROR(F58/SUM(HistoriacalIFLS!$C$114,F56),0)/$L$60</f>
        <v>1.0411153886163065</v>
      </c>
      <c r="G60" s="83">
        <f>IFERROR(G58/SUM(HistoriacalIFLS!$C$114,G56),0)/$L$60</f>
        <v>1.1626795795689804</v>
      </c>
      <c r="H60" s="83">
        <f>IFERROR(H58/SUM(HistoriacalIFLS!$C$114,H56),0)/$L$60</f>
        <v>0.65540108436559219</v>
      </c>
      <c r="I60" s="55"/>
      <c r="J60" s="64">
        <f>IFERROR(AVERAGE(C60:H60),0)</f>
        <v>1.1788815895637637</v>
      </c>
      <c r="K60" s="64">
        <f>IFERROR(MEDIAN(C60:H60),0)</f>
        <v>1.1018974840926434</v>
      </c>
      <c r="L60" s="55">
        <v>100</v>
      </c>
    </row>
    <row r="61" spans="2:12" x14ac:dyDescent="0.3">
      <c r="I61" s="70"/>
      <c r="J61" s="64">
        <f t="shared" ref="J61:J68" si="8">IFERROR(AVERAGE(C61:H61),0)</f>
        <v>0</v>
      </c>
      <c r="K61" s="64">
        <f t="shared" ref="K61:K68" si="9">IFERROR(MEDIAN(C61:H61),0)</f>
        <v>0</v>
      </c>
    </row>
    <row r="62" spans="2:12" x14ac:dyDescent="0.3">
      <c r="B62" t="s">
        <v>827</v>
      </c>
      <c r="C62" s="132" cm="1">
        <f t="array" ref="C62">IFERROR(SUM(HistoriacalIFLS!C54:C55/HistoriacalIFLS!C42),0)</f>
        <v>171.58470171317987</v>
      </c>
      <c r="D62" s="132" cm="1">
        <f t="array" ref="D62">IFERROR(SUM(HistoriacalIFLS!D54:D55/HistoriacalIFLS!D42),0)</f>
        <v>191.43534120935695</v>
      </c>
      <c r="E62" s="132" cm="1">
        <f t="array" ref="E62">IFERROR(SUM(HistoriacalIFLS!E54:E55/HistoriacalIFLS!E42),0)</f>
        <v>208.58161277917225</v>
      </c>
      <c r="F62" s="132" cm="1">
        <f t="array" ref="F62">IFERROR(SUM(HistoriacalIFLS!F54:F55/HistoriacalIFLS!F42),0)</f>
        <v>230.3137314901729</v>
      </c>
      <c r="G62" s="132" cm="1">
        <f t="array" ref="G62">IFERROR(SUM(HistoriacalIFLS!G54:G55/HistoriacalIFLS!G42),0)</f>
        <v>256.36911727611431</v>
      </c>
      <c r="H62" s="132" cm="1">
        <f t="array" ref="H62">IFERROR(SUM(HistoriacalIFLS!H54:H55/HistoriacalIFLS!H42),0)</f>
        <v>276.4037695746203</v>
      </c>
      <c r="I62" s="70"/>
      <c r="J62" s="64">
        <f t="shared" si="8"/>
        <v>222.44804567376946</v>
      </c>
      <c r="K62" s="64">
        <f t="shared" si="9"/>
        <v>219.44767213467259</v>
      </c>
    </row>
    <row r="63" spans="2:12" x14ac:dyDescent="0.3">
      <c r="B63" t="s">
        <v>828</v>
      </c>
      <c r="C63" s="132">
        <f>IFERROR(HistoriacalIFLS!C113/'Ratio Analysis'!C62,0)</f>
        <v>1.1463725963681932</v>
      </c>
      <c r="D63" s="132">
        <f>IFERROR(HistoriacalIFLS!D113/'Ratio Analysis'!D62,0)</f>
        <v>2.1633936418619721</v>
      </c>
      <c r="E63" s="132">
        <f>IFERROR(HistoriacalIFLS!E113/'Ratio Analysis'!E62,0)</f>
        <v>2.8377381501343137</v>
      </c>
      <c r="F63" s="132">
        <f>IFERROR(HistoriacalIFLS!F113/'Ratio Analysis'!F62,0)</f>
        <v>1.5858802583622098</v>
      </c>
      <c r="G63" s="132">
        <f>IFERROR(HistoriacalIFLS!G113/'Ratio Analysis'!G62,0)</f>
        <v>1.8726904593696572</v>
      </c>
      <c r="H63" s="132">
        <f>IFERROR(HistoriacalIFLS!H113/'Ratio Analysis'!H62,0)</f>
        <v>0.94879313839893475</v>
      </c>
      <c r="I63" s="70"/>
      <c r="J63" s="64">
        <f t="shared" si="8"/>
        <v>1.7591447074158804</v>
      </c>
      <c r="K63" s="64">
        <f t="shared" si="9"/>
        <v>1.7292853588659334</v>
      </c>
    </row>
    <row r="64" spans="2:12" x14ac:dyDescent="0.3">
      <c r="I64" s="70"/>
      <c r="J64" s="64"/>
      <c r="K64" s="64"/>
    </row>
    <row r="65" spans="2:11" x14ac:dyDescent="0.3">
      <c r="B65" t="s">
        <v>833</v>
      </c>
      <c r="I65" s="70"/>
      <c r="J65" s="64"/>
      <c r="K65" s="64"/>
    </row>
    <row r="66" spans="2:11" x14ac:dyDescent="0.3">
      <c r="B66" t="s">
        <v>832</v>
      </c>
      <c r="C66" s="132">
        <f>IFERROR(HistoriacalIFLS!C116/HistoriacalIFLS!C24,0)</f>
        <v>8.5607400772065265</v>
      </c>
      <c r="D66" s="132">
        <f>IFERROR(HistoriacalIFLS!D116/HistoriacalIFLS!D24,0)</f>
        <v>16.951828861757203</v>
      </c>
      <c r="E66" s="132">
        <f>IFERROR(HistoriacalIFLS!E116/HistoriacalIFLS!E24,0)</f>
        <v>24.069765839439061</v>
      </c>
      <c r="F66" s="132">
        <f>IFERROR(HistoriacalIFLS!F116/HistoriacalIFLS!F24,0)</f>
        <v>13.003936638491545</v>
      </c>
      <c r="G66" s="132">
        <f>IFERROR(HistoriacalIFLS!G116/HistoriacalIFLS!G24,0)</f>
        <v>13.046964856329277</v>
      </c>
      <c r="H66" s="132">
        <f>IFERROR(HistoriacalIFLS!H116/HistoriacalIFLS!H24,0)</f>
        <v>9.7736613966142674</v>
      </c>
      <c r="I66" s="70"/>
      <c r="J66" s="64">
        <f t="shared" si="8"/>
        <v>14.234482944972981</v>
      </c>
      <c r="K66" s="64">
        <f t="shared" si="9"/>
        <v>13.02545074741041</v>
      </c>
    </row>
    <row r="67" spans="2:11" x14ac:dyDescent="0.3">
      <c r="B67" t="s">
        <v>834</v>
      </c>
      <c r="C67" s="132">
        <f>IFERROR(HistoriacalIFLS!C116/HistoriacalIFLS!C7,0)</f>
        <v>2.0423927870225009</v>
      </c>
      <c r="D67" s="132">
        <f>IFERROR(HistoriacalIFLS!D116/HistoriacalIFLS!D7,0)</f>
        <v>4.2466533218475355</v>
      </c>
      <c r="E67" s="132">
        <f>IFERROR(HistoriacalIFLS!E116/HistoriacalIFLS!E7,0)</f>
        <v>5.2780999550825785</v>
      </c>
      <c r="F67" s="132">
        <f>IFERROR(HistoriacalIFLS!F116/HistoriacalIFLS!F7,0)</f>
        <v>2.8550297707417345</v>
      </c>
      <c r="G67" s="132">
        <f>IFERROR(HistoriacalIFLS!G116/HistoriacalIFLS!G7,0)</f>
        <v>3.5257380370759006</v>
      </c>
      <c r="H67" s="132">
        <f>IFERROR(HistoriacalIFLS!H116/HistoriacalIFLS!H7,0)</f>
        <v>2.2356635434530063</v>
      </c>
      <c r="I67" s="70"/>
      <c r="J67" s="64">
        <f t="shared" si="8"/>
        <v>3.3639295692038762</v>
      </c>
      <c r="K67" s="64">
        <f t="shared" si="9"/>
        <v>3.1903839039088178</v>
      </c>
    </row>
    <row r="68" spans="2:11" x14ac:dyDescent="0.3">
      <c r="B68" t="s">
        <v>837</v>
      </c>
      <c r="C68" s="116">
        <f>IFERROR((HistoriacalIFLS!C116)/(HistoriacalIFLS!C24-HistoriacalIFLS!C27),0)</f>
        <v>8.6464612671688066</v>
      </c>
      <c r="D68" s="116">
        <f>IFERROR((HistoriacalIFLS!D116)/(HistoriacalIFLS!D24-HistoriacalIFLS!D27),0)</f>
        <v>18.012449076278838</v>
      </c>
      <c r="E68" s="116">
        <f>IFERROR((HistoriacalIFLS!E116)/(HistoriacalIFLS!E24-HistoriacalIFLS!E27),0)</f>
        <v>26.419710982359046</v>
      </c>
      <c r="F68" s="116">
        <f>IFERROR((HistoriacalIFLS!F116)/(HistoriacalIFLS!F24-HistoriacalIFLS!F27),0)</f>
        <v>14.158328295341921</v>
      </c>
      <c r="G68" s="116">
        <f>IFERROR((HistoriacalIFLS!G116)/(HistoriacalIFLS!G24-HistoriacalIFLS!G27),0)</f>
        <v>14.128055513819588</v>
      </c>
      <c r="H68" s="116">
        <f>IFERROR((HistoriacalIFLS!H116)/(HistoriacalIFLS!H24-HistoriacalIFLS!H27),0)</f>
        <v>11.291217398896416</v>
      </c>
      <c r="I68" s="70"/>
      <c r="J68" s="49">
        <f t="shared" si="8"/>
        <v>15.442703755644104</v>
      </c>
      <c r="K68" s="49">
        <f t="shared" si="9"/>
        <v>14.143191904580753</v>
      </c>
    </row>
    <row r="69" spans="2:11" x14ac:dyDescent="0.3">
      <c r="J69" s="50"/>
      <c r="K69" s="50"/>
    </row>
    <row r="70" spans="2:11" x14ac:dyDescent="0.3">
      <c r="J70" s="50"/>
      <c r="K70" s="50"/>
    </row>
    <row r="71" spans="2:11" x14ac:dyDescent="0.3">
      <c r="J71" s="50"/>
      <c r="K71" s="50"/>
    </row>
  </sheetData>
  <mergeCells count="1">
    <mergeCell ref="B1:K1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7677D467-1510-47FC-BEA5-C9C4EE1AB4CC}">
          <x14:colorSeries rgb="FF376092"/>
          <x14:colorNegative rgb="FFD00000"/>
          <x14:colorAxis rgb="FF000000"/>
          <x14:colorMarkers theme="2" tint="-0.749992370372631"/>
          <x14:colorFirst rgb="FFD00000"/>
          <x14:colorLast rgb="FFD00000"/>
          <x14:colorHigh rgb="FFD00000"/>
          <x14:colorLow rgb="FFD00000"/>
          <x14:sparklines>
            <x14:sparkline>
              <xm:f>'Ratio Analysis'!D4:H4</xm:f>
              <xm:sqref>I4</xm:sqref>
            </x14:sparkline>
            <x14:sparkline>
              <xm:f>'Ratio Analysis'!D5:H5</xm:f>
              <xm:sqref>I5</xm:sqref>
            </x14:sparkline>
            <x14:sparkline>
              <xm:f>'Ratio Analysis'!D6:H6</xm:f>
              <xm:sqref>I6</xm:sqref>
            </x14:sparkline>
            <x14:sparkline>
              <xm:f>'Ratio Analysis'!D7:H7</xm:f>
              <xm:sqref>I7</xm:sqref>
            </x14:sparkline>
            <x14:sparkline>
              <xm:f>'Ratio Analysis'!D8:H8</xm:f>
              <xm:sqref>I8</xm:sqref>
            </x14:sparkline>
          </x14:sparklines>
        </x14:sparklineGroup>
        <x14:sparklineGroup displayEmptyCellsAs="gap" markers="1" xr2:uid="{2093E194-6EA4-4FA9-838D-E800C17721C0}">
          <x14:colorSeries theme="2" tint="-0.749992370372631"/>
          <x14:colorNegative rgb="FFD00000"/>
          <x14:colorAxis rgb="FF000000"/>
          <x14:colorMarkers theme="2" tint="-0.749992370372631"/>
          <x14:colorFirst rgb="FFD00000"/>
          <x14:colorLast rgb="FFD00000"/>
          <x14:colorHigh rgb="FFD00000"/>
          <x14:colorLow rgb="FFD00000"/>
          <x14:sparklines>
            <x14:sparkline>
              <xm:f>'Ratio Analysis'!C10:H10</xm:f>
              <xm:sqref>I10</xm:sqref>
            </x14:sparkline>
            <x14:sparkline>
              <xm:f>'Ratio Analysis'!C11:H11</xm:f>
              <xm:sqref>I11</xm:sqref>
            </x14:sparkline>
            <x14:sparkline>
              <xm:f>'Ratio Analysis'!C12:H12</xm:f>
              <xm:sqref>I12</xm:sqref>
            </x14:sparkline>
            <x14:sparkline>
              <xm:f>'Ratio Analysis'!C13:H13</xm:f>
              <xm:sqref>I13</xm:sqref>
            </x14:sparkline>
            <x14:sparkline>
              <xm:f>'Ratio Analysis'!C14:H14</xm:f>
              <xm:sqref>I14</xm:sqref>
            </x14:sparkline>
            <x14:sparkline>
              <xm:f>'Ratio Analysis'!C15:H15</xm:f>
              <xm:sqref>I15</xm:sqref>
            </x14:sparkline>
            <x14:sparkline>
              <xm:f>'Ratio Analysis'!C16:H16</xm:f>
              <xm:sqref>I16</xm:sqref>
            </x14:sparkline>
            <x14:sparkline>
              <xm:f>'Ratio Analysis'!C17:H17</xm:f>
              <xm:sqref>I17</xm:sqref>
            </x14:sparkline>
            <x14:sparkline>
              <xm:f>'Ratio Analysis'!C18:H18</xm:f>
              <xm:sqref>I18</xm:sqref>
            </x14:sparkline>
            <x14:sparkline>
              <xm:f>'Ratio Analysis'!C19:H19</xm:f>
              <xm:sqref>I19</xm:sqref>
            </x14:sparkline>
            <x14:sparkline>
              <xm:f>'Ratio Analysis'!C20:H20</xm:f>
              <xm:sqref>I20</xm:sqref>
            </x14:sparkline>
            <x14:sparkline>
              <xm:f>'Ratio Analysis'!C21:H21</xm:f>
              <xm:sqref>I21</xm:sqref>
            </x14:sparkline>
            <x14:sparkline>
              <xm:f>'Ratio Analysis'!C22:H22</xm:f>
              <xm:sqref>I22</xm:sqref>
            </x14:sparkline>
            <x14:sparkline>
              <xm:f>'Ratio Analysis'!C23:H23</xm:f>
              <xm:sqref>I23</xm:sqref>
            </x14:sparkline>
            <x14:sparkline>
              <xm:f>'Ratio Analysis'!C24:H24</xm:f>
              <xm:sqref>I24</xm:sqref>
            </x14:sparkline>
            <x14:sparkline>
              <xm:f>'Ratio Analysis'!C25:H25</xm:f>
              <xm:sqref>I25</xm:sqref>
            </x14:sparkline>
            <x14:sparkline>
              <xm:f>'Ratio Analysis'!C26:H26</xm:f>
              <xm:sqref>I26</xm:sqref>
            </x14:sparkline>
            <x14:sparkline>
              <xm:f>'Ratio Analysis'!C27:H27</xm:f>
              <xm:sqref>I27</xm:sqref>
            </x14:sparkline>
            <x14:sparkline>
              <xm:f>'Ratio Analysis'!C28:H28</xm:f>
              <xm:sqref>I28</xm:sqref>
            </x14:sparkline>
            <x14:sparkline>
              <xm:f>'Ratio Analysis'!C29:H29</xm:f>
              <xm:sqref>I29</xm:sqref>
            </x14:sparkline>
            <x14:sparkline>
              <xm:f>'Ratio Analysis'!C30:H30</xm:f>
              <xm:sqref>I30</xm:sqref>
            </x14:sparkline>
            <x14:sparkline>
              <xm:f>'Ratio Analysis'!C31:H31</xm:f>
              <xm:sqref>I31</xm:sqref>
            </x14:sparkline>
            <x14:sparkline>
              <xm:f>'Ratio Analysis'!C32:H32</xm:f>
              <xm:sqref>I32</xm:sqref>
            </x14:sparkline>
            <x14:sparkline>
              <xm:f>'Ratio Analysis'!C33:H33</xm:f>
              <xm:sqref>I33</xm:sqref>
            </x14:sparkline>
            <x14:sparkline>
              <xm:f>'Ratio Analysis'!C34:H34</xm:f>
              <xm:sqref>I34</xm:sqref>
            </x14:sparkline>
            <x14:sparkline>
              <xm:f>'Ratio Analysis'!C35:H35</xm:f>
              <xm:sqref>I35</xm:sqref>
            </x14:sparkline>
            <x14:sparkline>
              <xm:f>'Ratio Analysis'!C36:H36</xm:f>
              <xm:sqref>I36</xm:sqref>
            </x14:sparkline>
            <x14:sparkline>
              <xm:f>'Ratio Analysis'!C37:H37</xm:f>
              <xm:sqref>I37</xm:sqref>
            </x14:sparkline>
            <x14:sparkline>
              <xm:f>'Ratio Analysis'!C38:H38</xm:f>
              <xm:sqref>I38</xm:sqref>
            </x14:sparkline>
            <x14:sparkline>
              <xm:f>'Ratio Analysis'!C39:H39</xm:f>
              <xm:sqref>I39</xm:sqref>
            </x14:sparkline>
            <x14:sparkline>
              <xm:f>'Ratio Analysis'!C40:H40</xm:f>
              <xm:sqref>I40</xm:sqref>
            </x14:sparkline>
            <x14:sparkline>
              <xm:f>'Ratio Analysis'!C41:H41</xm:f>
              <xm:sqref>I41</xm:sqref>
            </x14:sparkline>
            <x14:sparkline>
              <xm:f>'Ratio Analysis'!C42:H42</xm:f>
              <xm:sqref>I42</xm:sqref>
            </x14:sparkline>
            <x14:sparkline>
              <xm:f>'Ratio Analysis'!C43:H43</xm:f>
              <xm:sqref>I43</xm:sqref>
            </x14:sparkline>
            <x14:sparkline>
              <xm:f>'Ratio Analysis'!C44:H44</xm:f>
              <xm:sqref>I44</xm:sqref>
            </x14:sparkline>
            <x14:sparkline>
              <xm:f>'Ratio Analysis'!C45:H45</xm:f>
              <xm:sqref>I45</xm:sqref>
            </x14:sparkline>
            <x14:sparkline>
              <xm:f>'Ratio Analysis'!C46:H46</xm:f>
              <xm:sqref>I46</xm:sqref>
            </x14:sparkline>
            <x14:sparkline>
              <xm:f>'Ratio Analysis'!C47:H47</xm:f>
              <xm:sqref>I47</xm:sqref>
            </x14:sparkline>
            <x14:sparkline>
              <xm:f>'Ratio Analysis'!C48:H48</xm:f>
              <xm:sqref>I48</xm:sqref>
            </x14:sparkline>
            <x14:sparkline>
              <xm:f>'Ratio Analysis'!C49:H49</xm:f>
              <xm:sqref>I49</xm:sqref>
            </x14:sparkline>
            <x14:sparkline>
              <xm:f>'Ratio Analysis'!C50:H50</xm:f>
              <xm:sqref>I50</xm:sqref>
            </x14:sparkline>
            <x14:sparkline>
              <xm:f>'Ratio Analysis'!C51:H51</xm:f>
              <xm:sqref>I51</xm:sqref>
            </x14:sparkline>
            <x14:sparkline>
              <xm:f>'Ratio Analysis'!C52:H52</xm:f>
              <xm:sqref>I52</xm:sqref>
            </x14:sparkline>
            <x14:sparkline>
              <xm:f>'Ratio Analysis'!C53:H53</xm:f>
              <xm:sqref>I53</xm:sqref>
            </x14:sparkline>
            <x14:sparkline>
              <xm:f>'Ratio Analysis'!C54:H54</xm:f>
              <xm:sqref>I54</xm:sqref>
            </x14:sparkline>
            <x14:sparkline>
              <xm:f>'Ratio Analysis'!C55:H55</xm:f>
              <xm:sqref>I55</xm:sqref>
            </x14:sparkline>
            <x14:sparkline>
              <xm:f>'Ratio Analysis'!C56:H56</xm:f>
              <xm:sqref>I56</xm:sqref>
            </x14:sparkline>
            <x14:sparkline>
              <xm:f>'Ratio Analysis'!C57:H57</xm:f>
              <xm:sqref>I57</xm:sqref>
            </x14:sparkline>
            <x14:sparkline>
              <xm:f>'Ratio Analysis'!C58:H58</xm:f>
              <xm:sqref>I58</xm:sqref>
            </x14:sparkline>
            <x14:sparkline>
              <xm:f>'Ratio Analysis'!C59:H59</xm:f>
              <xm:sqref>I59</xm:sqref>
            </x14:sparkline>
            <x14:sparkline>
              <xm:f>'Ratio Analysis'!C60:H60</xm:f>
              <xm:sqref>I60</xm:sqref>
            </x14:sparkline>
            <x14:sparkline>
              <xm:f>'Ratio Analysis'!C61:H61</xm:f>
              <xm:sqref>I61</xm:sqref>
            </x14:sparkline>
            <x14:sparkline>
              <xm:f>'Ratio Analysis'!C62:H62</xm:f>
              <xm:sqref>I62</xm:sqref>
            </x14:sparkline>
            <x14:sparkline>
              <xm:f>'Ratio Analysis'!C63:H63</xm:f>
              <xm:sqref>I63</xm:sqref>
            </x14:sparkline>
            <x14:sparkline>
              <xm:f>'Ratio Analysis'!C64:H64</xm:f>
              <xm:sqref>I64</xm:sqref>
            </x14:sparkline>
            <x14:sparkline>
              <xm:f>'Ratio Analysis'!C65:H65</xm:f>
              <xm:sqref>I65</xm:sqref>
            </x14:sparkline>
            <x14:sparkline>
              <xm:f>'Ratio Analysis'!C66:H66</xm:f>
              <xm:sqref>I66</xm:sqref>
            </x14:sparkline>
            <x14:sparkline>
              <xm:f>'Ratio Analysis'!C67:H67</xm:f>
              <xm:sqref>I67</xm:sqref>
            </x14:sparkline>
            <x14:sparkline>
              <xm:f>'Ratio Analysis'!C68:H68</xm:f>
              <xm:sqref>I68</xm:sqref>
            </x14:sparkline>
          </x14:sparklines>
        </x14:sparklineGroup>
      </x14:sparklineGroup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9E9F-9B6C-4F5E-BADC-8C6A244EB7E9}">
  <dimension ref="B2:K84"/>
  <sheetViews>
    <sheetView showGridLines="0" tabSelected="1" topLeftCell="A51" zoomScale="116" workbookViewId="0">
      <selection activeCell="B59" sqref="B59:J84"/>
    </sheetView>
  </sheetViews>
  <sheetFormatPr defaultRowHeight="14.4" x14ac:dyDescent="0.3"/>
  <cols>
    <col min="1" max="1" width="1.88671875" customWidth="1"/>
    <col min="2" max="2" width="25.109375" bestFit="1" customWidth="1"/>
    <col min="10" max="10" width="15.6640625" customWidth="1"/>
  </cols>
  <sheetData>
    <row r="2" spans="2:10" x14ac:dyDescent="0.3">
      <c r="B2" s="141" t="s">
        <v>782</v>
      </c>
      <c r="C2" s="141"/>
      <c r="D2" s="141"/>
      <c r="E2" s="141"/>
      <c r="F2" s="141"/>
      <c r="G2" s="141"/>
      <c r="H2" s="141"/>
      <c r="I2" s="141"/>
      <c r="J2" s="47" t="s">
        <v>724</v>
      </c>
    </row>
    <row r="3" spans="2:10" x14ac:dyDescent="0.3">
      <c r="D3" s="85">
        <f>HistoriacalIFLS!C3</f>
        <v>43921</v>
      </c>
      <c r="E3" s="85">
        <f>HistoriacalIFLS!D3</f>
        <v>44286</v>
      </c>
      <c r="F3" s="85">
        <f>HistoriacalIFLS!E3</f>
        <v>44651</v>
      </c>
      <c r="G3" s="85">
        <f>HistoriacalIFLS!F3</f>
        <v>45016</v>
      </c>
      <c r="H3" s="85">
        <f>HistoriacalIFLS!G3</f>
        <v>45382</v>
      </c>
      <c r="I3" s="85">
        <f>HistoriacalIFLS!H3</f>
        <v>45747</v>
      </c>
    </row>
    <row r="5" spans="2:10" x14ac:dyDescent="0.3">
      <c r="B5" t="str">
        <f>HistoriacalIFLS!B7</f>
        <v xml:space="preserve"> Sales</v>
      </c>
      <c r="D5" s="29">
        <f>IFERROR(HistoriacalIFLS!C7/HistoriacalIFLS!C$11,0)</f>
        <v>0.90697674418604646</v>
      </c>
      <c r="E5" s="29">
        <f>IFERROR(HistoriacalIFLS!D7/HistoriacalIFLS!D$11,0)</f>
        <v>0.88209278896231413</v>
      </c>
      <c r="F5" s="29">
        <f>IFERROR(HistoriacalIFLS!E7/HistoriacalIFLS!E$11,0)</f>
        <v>0.91019734255837725</v>
      </c>
      <c r="G5" s="29">
        <f>IFERROR(HistoriacalIFLS!F7/HistoriacalIFLS!F$11,0)</f>
        <v>0.90245284963413375</v>
      </c>
      <c r="H5" s="29">
        <f>IFERROR(HistoriacalIFLS!G7/HistoriacalIFLS!G$11,0)</f>
        <v>0.8817760122381505</v>
      </c>
      <c r="I5" s="29">
        <f>IFERROR(HistoriacalIFLS!H7/HistoriacalIFLS!H$11,0)</f>
        <v>0.88722561013018564</v>
      </c>
    </row>
    <row r="6" spans="2:10" x14ac:dyDescent="0.3">
      <c r="B6" t="str">
        <f>HistoriacalIFLS!B9</f>
        <v>Other Income</v>
      </c>
      <c r="D6" s="29">
        <f>IFERROR(HistoriacalIFLS!C9/HistoriacalIFLS!C$11,0)</f>
        <v>9.3023255813953487E-2</v>
      </c>
      <c r="E6" s="29">
        <f>IFERROR(HistoriacalIFLS!D9/HistoriacalIFLS!D$11,0)</f>
        <v>0.11790721103768591</v>
      </c>
      <c r="F6" s="29">
        <f>IFERROR(HistoriacalIFLS!E9/HistoriacalIFLS!E$11,0)</f>
        <v>8.9802657441622774E-2</v>
      </c>
      <c r="G6" s="29">
        <f>IFERROR(HistoriacalIFLS!F9/HistoriacalIFLS!F$11,0)</f>
        <v>9.7547150365866225E-2</v>
      </c>
      <c r="H6" s="29">
        <f>IFERROR(HistoriacalIFLS!G9/HistoriacalIFLS!G$11,0)</f>
        <v>0.11822398776184954</v>
      </c>
      <c r="I6" s="29">
        <f>IFERROR(HistoriacalIFLS!H9/HistoriacalIFLS!H$11,0)</f>
        <v>0.11277438986981435</v>
      </c>
    </row>
    <row r="7" spans="2:10" x14ac:dyDescent="0.3">
      <c r="B7" t="str">
        <f>HistoriacalIFLS!B11</f>
        <v>Total Revenue</v>
      </c>
      <c r="D7" s="29">
        <f>IFERROR(HistoriacalIFLS!C11/HistoriacalIFLS!C11,0)</f>
        <v>1</v>
      </c>
      <c r="E7" s="29">
        <f>IFERROR(HistoriacalIFLS!D11/HistoriacalIFLS!D11,0)</f>
        <v>1</v>
      </c>
      <c r="F7" s="29">
        <f>IFERROR(HistoriacalIFLS!E11/HistoriacalIFLS!E11,0)</f>
        <v>1</v>
      </c>
      <c r="G7" s="29">
        <f>IFERROR(HistoriacalIFLS!F11/HistoriacalIFLS!F11,0)</f>
        <v>1</v>
      </c>
      <c r="H7" s="29">
        <f>IFERROR(HistoriacalIFLS!G11/HistoriacalIFLS!G11,0)</f>
        <v>1</v>
      </c>
      <c r="I7" s="29">
        <f>IFERROR(HistoriacalIFLS!H11/HistoriacalIFLS!H11,0)</f>
        <v>1</v>
      </c>
    </row>
    <row r="8" spans="2:10" x14ac:dyDescent="0.3">
      <c r="B8" t="str">
        <f>HistoriacalIFLS!B13</f>
        <v>COGS</v>
      </c>
      <c r="D8" s="29">
        <f>IFERROR(HistoriacalIFLS!C13/HistoriacalIFLS!C11,0)</f>
        <v>0.48043663977218792</v>
      </c>
      <c r="E8" s="29">
        <f>IFERROR(HistoriacalIFLS!D13/HistoriacalIFLS!D11,0)</f>
        <v>0.51232006557041132</v>
      </c>
      <c r="F8" s="29">
        <f>IFERROR(HistoriacalIFLS!E13/HistoriacalIFLS!E11,0)</f>
        <v>0.53642581963990876</v>
      </c>
      <c r="G8" s="29">
        <f>IFERROR(HistoriacalIFLS!F13/HistoriacalIFLS!F11,0)</f>
        <v>0.53243842110687412</v>
      </c>
      <c r="H8" s="29">
        <f>IFERROR(HistoriacalIFLS!G13/HistoriacalIFLS!G11,0)</f>
        <v>0.48760147055195047</v>
      </c>
      <c r="I8" s="29">
        <f>IFERROR(HistoriacalIFLS!H13/HistoriacalIFLS!H11,0)</f>
        <v>0.49949079129805274</v>
      </c>
    </row>
    <row r="9" spans="2:10" x14ac:dyDescent="0.3">
      <c r="B9" t="s">
        <v>784</v>
      </c>
      <c r="D9" s="29">
        <f>IFERROR(HistoriacalIFLS!C22/HistoriacalIFLS!C11,0)</f>
        <v>0.22578073089700998</v>
      </c>
      <c r="E9" s="29">
        <f>IFERROR(HistoriacalIFLS!D22/HistoriacalIFLS!D11,0)</f>
        <v>0.18955654594197702</v>
      </c>
      <c r="F9" s="29">
        <f>IFERROR(HistoriacalIFLS!E22/HistoriacalIFLS!E11,0)</f>
        <v>0.18624105668684646</v>
      </c>
      <c r="G9" s="29">
        <f>IFERROR(HistoriacalIFLS!F22/HistoriacalIFLS!F11,0)</f>
        <v>0.19747758425229311</v>
      </c>
      <c r="H9" s="29">
        <f>IFERROR(HistoriacalIFLS!G22/HistoriacalIFLS!G11,0)</f>
        <v>0.19683436551605024</v>
      </c>
      <c r="I9" s="29">
        <f>IFERROR(HistoriacalIFLS!H22/HistoriacalIFLS!H11,0)</f>
        <v>0.21821126639590671</v>
      </c>
    </row>
    <row r="10" spans="2:10" x14ac:dyDescent="0.3">
      <c r="B10" t="str">
        <f>HistoriacalIFLS!B19</f>
        <v>Employee Benefits Expenses</v>
      </c>
      <c r="D10" s="29">
        <f>IFERROR(HistoriacalIFLS!C19/HistoriacalIFLS!C11,0)</f>
        <v>7.7399145704793545E-2</v>
      </c>
      <c r="E10" s="29">
        <f>IFERROR(HistoriacalIFLS!D19/HistoriacalIFLS!D11,0)</f>
        <v>7.7147687106193324E-2</v>
      </c>
      <c r="F10" s="29">
        <f>IFERROR(HistoriacalIFLS!E19/HistoriacalIFLS!E11,0)</f>
        <v>7.7741960845978453E-2</v>
      </c>
      <c r="G10" s="29">
        <f>IFERROR(HistoriacalIFLS!F19/HistoriacalIFLS!F11,0)</f>
        <v>7.1949397093682366E-2</v>
      </c>
      <c r="H10" s="29">
        <f>IFERROR(HistoriacalIFLS!G19/HistoriacalIFLS!G11,0)</f>
        <v>7.7277998470231188E-2</v>
      </c>
      <c r="I10" s="29">
        <f>IFERROR(HistoriacalIFLS!H19/HistoriacalIFLS!H11,0)</f>
        <v>7.9350666879348219E-2</v>
      </c>
    </row>
    <row r="11" spans="2:10" x14ac:dyDescent="0.3">
      <c r="B11" t="str">
        <f>HistoriacalIFLS!B27</f>
        <v>Interest</v>
      </c>
      <c r="C11" s="87"/>
      <c r="D11" s="29">
        <f>IFERROR(HistoriacalIFLS!C27/HistoriacalIFLS!C$11,0)</f>
        <v>2.1452301850972948E-3</v>
      </c>
      <c r="E11" s="29">
        <f>IFERROR(HistoriacalIFLS!D27/HistoriacalIFLS!D$11,0)</f>
        <v>1.3011628502638185E-2</v>
      </c>
      <c r="F11" s="29">
        <f>IFERROR(HistoriacalIFLS!E27/HistoriacalIFLS!E$11,0)</f>
        <v>1.775296800062898E-2</v>
      </c>
      <c r="G11" s="29">
        <f>IFERROR(HistoriacalIFLS!F27/HistoriacalIFLS!F$11,0)</f>
        <v>1.6154797485313819E-2</v>
      </c>
      <c r="H11" s="29">
        <f>IFERROR(HistoriacalIFLS!G27/HistoriacalIFLS!G$11,0)</f>
        <v>1.823385723802709E-2</v>
      </c>
      <c r="I11" s="29">
        <f>IFERROR(HistoriacalIFLS!H27/HistoriacalIFLS!H$11,0)</f>
        <v>2.7276408299488339E-2</v>
      </c>
    </row>
    <row r="12" spans="2:10" x14ac:dyDescent="0.3">
      <c r="B12" t="str">
        <f>HistoriacalIFLS!B30</f>
        <v>D&amp;A impairment expense</v>
      </c>
      <c r="D12" s="29">
        <f>IFERROR(HistoriacalIFLS!C30/HistoriacalIFLS!C11,0)</f>
        <v>1.8149027052681538E-2</v>
      </c>
      <c r="E12" s="29">
        <f>IFERROR(HistoriacalIFLS!D30/HistoriacalIFLS!D11,0)</f>
        <v>1.5607123951983335E-2</v>
      </c>
      <c r="F12" s="29">
        <f>IFERROR(HistoriacalIFLS!E30/HistoriacalIFLS!E11,0)</f>
        <v>1.5567261577168017E-2</v>
      </c>
      <c r="G12" s="29">
        <f>IFERROR(HistoriacalIFLS!F30/HistoriacalIFLS!F11,0)</f>
        <v>1.4827888281974648E-2</v>
      </c>
      <c r="H12" s="29">
        <f>IFERROR(HistoriacalIFLS!G30/HistoriacalIFLS!G11,0)</f>
        <v>2.2576426756149917E-2</v>
      </c>
      <c r="I12" s="29">
        <f>IFERROR(HistoriacalIFLS!H30/HistoriacalIFLS!H11,0)</f>
        <v>1.6086086945852097E-2</v>
      </c>
    </row>
    <row r="13" spans="2:10" x14ac:dyDescent="0.3">
      <c r="B13" t="str">
        <f>HistoriacalIFLS!B36</f>
        <v>Tax</v>
      </c>
      <c r="D13" s="29">
        <f>IFERROR(HistoriacalIFLS!C36/HistoriacalIFLS!C11,0)</f>
        <v>4.087327954437589E-2</v>
      </c>
      <c r="E13" s="29">
        <f>IFERROR(HistoriacalIFLS!D36/HistoriacalIFLS!D11,0)</f>
        <v>3.6456465686525621E-2</v>
      </c>
      <c r="F13" s="29">
        <f>IFERROR(HistoriacalIFLS!E36/HistoriacalIFLS!E11,0)</f>
        <v>3.7691642424718924E-2</v>
      </c>
      <c r="G13" s="29">
        <f>IFERROR(HistoriacalIFLS!F36/HistoriacalIFLS!F11,0)</f>
        <v>2.9462537359579512E-2</v>
      </c>
      <c r="H13" s="29">
        <f>IFERROR(HistoriacalIFLS!G36/HistoriacalIFLS!G11,0)</f>
        <v>4.1636852624046976E-2</v>
      </c>
      <c r="I13" s="29">
        <f>IFERROR(HistoriacalIFLS!H36/HistoriacalIFLS!H11,0)</f>
        <v>3.9632388127461685E-2</v>
      </c>
    </row>
    <row r="14" spans="2:10" x14ac:dyDescent="0.3">
      <c r="B14" t="str">
        <f>HistoriacalIFLS!B24</f>
        <v>EBITDA</v>
      </c>
      <c r="D14" s="29">
        <f>IFERROR(HistoriacalIFLS!C24/HistoriacalIFLS!C11,0)</f>
        <v>0.21638348362600854</v>
      </c>
      <c r="E14" s="29">
        <f>IFERROR(HistoriacalIFLS!D24/HistoriacalIFLS!D11,0)</f>
        <v>0.22097570138141831</v>
      </c>
      <c r="F14" s="29">
        <f>IFERROR(HistoriacalIFLS!E24/HistoriacalIFLS!E11,0)</f>
        <v>0.1995911628272663</v>
      </c>
      <c r="G14" s="29">
        <f>IFERROR(HistoriacalIFLS!F24/HistoriacalIFLS!F11,0)</f>
        <v>0.19813459754715038</v>
      </c>
      <c r="H14" s="29">
        <f>IFERROR(HistoriacalIFLS!G24/HistoriacalIFLS!G11,0)</f>
        <v>0.23828616546176812</v>
      </c>
      <c r="I14" s="29">
        <f>IFERROR(HistoriacalIFLS!H24/HistoriacalIFLS!H11,0)</f>
        <v>0.20294727542669236</v>
      </c>
    </row>
    <row r="15" spans="2:10" x14ac:dyDescent="0.3">
      <c r="B15" t="str">
        <f>HistoriacalIFLS!B33</f>
        <v>Earnings Before Tax</v>
      </c>
      <c r="D15" s="29">
        <f>IFERROR(HistoriacalIFLS!C33/HistoriacalIFLS!C11,0)</f>
        <v>0.1960892263882297</v>
      </c>
      <c r="E15" s="29">
        <f>IFERROR(HistoriacalIFLS!D33/HistoriacalIFLS!D11,0)</f>
        <v>0.19235694892679678</v>
      </c>
      <c r="F15" s="29">
        <f>IFERROR(HistoriacalIFLS!E33/HistoriacalIFLS!E11,0)</f>
        <v>0.16627093324946929</v>
      </c>
      <c r="G15" s="29">
        <f>IFERROR(HistoriacalIFLS!F33/HistoriacalIFLS!F11,0)</f>
        <v>0.16715191177986191</v>
      </c>
      <c r="H15" s="29">
        <f>IFERROR(HistoriacalIFLS!G33/HistoriacalIFLS!G11,0)</f>
        <v>0.1974758814675911</v>
      </c>
      <c r="I15" s="29">
        <f>IFERROR(HistoriacalIFLS!H33/HistoriacalIFLS!H11,0)</f>
        <v>0.15958478018135192</v>
      </c>
    </row>
    <row r="16" spans="2:10" x14ac:dyDescent="0.3">
      <c r="B16" t="str">
        <f>HistoriacalIFLS!B39</f>
        <v>Net Profit</v>
      </c>
      <c r="D16" s="29">
        <f>IFERROR(HistoriacalIFLS!C39/HistoriacalIFLS!C11,0)</f>
        <v>0.15521594684385381</v>
      </c>
      <c r="E16" s="29">
        <f>IFERROR(HistoriacalIFLS!D39/HistoriacalIFLS!D11,0)</f>
        <v>0.15590048324027117</v>
      </c>
      <c r="F16" s="29">
        <f>IFERROR(HistoriacalIFLS!E39/HistoriacalIFLS!E11,0)</f>
        <v>0.12857929082475036</v>
      </c>
      <c r="G16" s="29">
        <f>IFERROR(HistoriacalIFLS!F39/HistoriacalIFLS!F11,0)</f>
        <v>0.1376893744202824</v>
      </c>
      <c r="H16" s="29">
        <f>IFERROR(HistoriacalIFLS!G39/HistoriacalIFLS!G11,0)</f>
        <v>0.15583902884354414</v>
      </c>
      <c r="I16" s="29">
        <f>IFERROR(HistoriacalIFLS!H39/HistoriacalIFLS!H11,0)</f>
        <v>0.11995239205389023</v>
      </c>
    </row>
    <row r="17" spans="2:11" x14ac:dyDescent="0.3">
      <c r="D17" s="29"/>
      <c r="E17" s="29"/>
      <c r="F17" s="29"/>
      <c r="G17" s="29"/>
      <c r="H17" s="29"/>
      <c r="I17" s="29"/>
    </row>
    <row r="18" spans="2:11" x14ac:dyDescent="0.3">
      <c r="D18" s="29"/>
      <c r="E18" s="29"/>
      <c r="F18" s="29"/>
      <c r="G18" s="29"/>
      <c r="H18" s="29"/>
      <c r="I18" s="29"/>
    </row>
    <row r="19" spans="2:11" x14ac:dyDescent="0.3">
      <c r="D19" s="29"/>
      <c r="E19" s="29"/>
      <c r="F19" s="29"/>
      <c r="G19" s="29"/>
      <c r="H19" s="29"/>
      <c r="I19" s="29"/>
    </row>
    <row r="20" spans="2:11" x14ac:dyDescent="0.3">
      <c r="D20" s="29"/>
      <c r="E20" s="29"/>
      <c r="F20" s="29"/>
      <c r="G20" s="29"/>
      <c r="H20" s="29"/>
      <c r="I20" s="29"/>
    </row>
    <row r="21" spans="2:11" x14ac:dyDescent="0.3">
      <c r="D21" s="29"/>
      <c r="E21" s="29"/>
      <c r="F21" s="29"/>
      <c r="G21" s="29"/>
      <c r="H21" s="29"/>
      <c r="I21" s="29"/>
    </row>
    <row r="26" spans="2:11" x14ac:dyDescent="0.3">
      <c r="B26" s="141" t="s">
        <v>781</v>
      </c>
      <c r="C26" s="141"/>
      <c r="D26" s="141"/>
      <c r="E26" s="141"/>
      <c r="F26" s="141"/>
      <c r="G26" s="141"/>
      <c r="H26" s="141"/>
      <c r="I26" s="141"/>
      <c r="J26" s="47" t="s">
        <v>724</v>
      </c>
    </row>
    <row r="27" spans="2:11" x14ac:dyDescent="0.3">
      <c r="D27" s="85">
        <f>HistoriacalIFLS!C3</f>
        <v>43921</v>
      </c>
      <c r="E27" s="85">
        <f>HistoriacalIFLS!D3</f>
        <v>44286</v>
      </c>
      <c r="F27" s="85">
        <f>HistoriacalIFLS!E3</f>
        <v>44651</v>
      </c>
      <c r="G27" s="85">
        <f>HistoriacalIFLS!F3</f>
        <v>45016</v>
      </c>
      <c r="H27" s="85">
        <f>HistoriacalIFLS!G3</f>
        <v>45382</v>
      </c>
      <c r="I27" s="85">
        <f>HistoriacalIFLS!H3</f>
        <v>45747</v>
      </c>
      <c r="K27" s="87"/>
    </row>
    <row r="28" spans="2:11" x14ac:dyDescent="0.3">
      <c r="D28" s="86"/>
      <c r="E28" s="86"/>
      <c r="F28" s="86"/>
      <c r="G28" s="86"/>
      <c r="H28" s="86"/>
      <c r="I28" s="86"/>
    </row>
    <row r="29" spans="2:11" x14ac:dyDescent="0.3">
      <c r="B29" t="str">
        <f>IFERROR(HistoriacalIFLS!B54,0)</f>
        <v>Equity Share Capital</v>
      </c>
      <c r="D29" s="29">
        <f>IFERROR(HistoriacalIFLS!C54/HistoriacalIFLS!C$61,0)</f>
        <v>4.9196000854344446E-2</v>
      </c>
      <c r="E29" s="29">
        <f>IFERROR(HistoriacalIFLS!D54/HistoriacalIFLS!D$61,0)</f>
        <v>3.7484500929944202E-2</v>
      </c>
      <c r="F29" s="29">
        <f>IFERROR(HistoriacalIFLS!E54/HistoriacalIFLS!E$61,0)</f>
        <v>3.4475139696658684E-2</v>
      </c>
      <c r="G29" s="29">
        <f>IFERROR(HistoriacalIFLS!F54/HistoriacalIFLS!F$61,0)</f>
        <v>3.1038045187081705E-2</v>
      </c>
      <c r="H29" s="29">
        <f>IFERROR(HistoriacalIFLS!G54/HistoriacalIFLS!G$61,0)</f>
        <v>2.9113825004062815E-2</v>
      </c>
      <c r="I29" s="29">
        <f>IFERROR(HistoriacalIFLS!H54/HistoriacalIFLS!H$61,0)</f>
        <v>2.550608781856244E-2</v>
      </c>
    </row>
    <row r="30" spans="2:11" x14ac:dyDescent="0.3">
      <c r="B30" t="str">
        <f>IFERROR(HistoriacalIFLS!B55,0)</f>
        <v>Reserves</v>
      </c>
      <c r="D30" s="29">
        <f>IFERROR(HistoriacalIFLS!C55/HistoriacalIFLS!C$61,0)</f>
        <v>0.79486579672704716</v>
      </c>
      <c r="E30" s="29">
        <f>IFERROR(HistoriacalIFLS!D55/HistoriacalIFLS!D$61,0)</f>
        <v>0.68004494730316178</v>
      </c>
      <c r="F30" s="29">
        <f>IFERROR(HistoriacalIFLS!E55/HistoriacalIFLS!E$61,0)</f>
        <v>0.68455639183487282</v>
      </c>
      <c r="G30" s="29">
        <f>IFERROR(HistoriacalIFLS!F55/HistoriacalIFLS!F$61,0)</f>
        <v>0.68375459603056965</v>
      </c>
      <c r="H30" s="29">
        <f>IFERROR(HistoriacalIFLS!G55/HistoriacalIFLS!G$61,0)</f>
        <v>0.7172160995780692</v>
      </c>
      <c r="I30" s="29">
        <f>IFERROR(HistoriacalIFLS!H55/HistoriacalIFLS!H$61,0)</f>
        <v>0.67943640879345713</v>
      </c>
    </row>
    <row r="31" spans="2:11" x14ac:dyDescent="0.3">
      <c r="B31" t="str">
        <f>IFERROR(HistoriacalIFLS!B56,0)</f>
        <v>Borrowings</v>
      </c>
      <c r="D31" s="29">
        <f>IFERROR(HistoriacalIFLS!C56/HistoriacalIFLS!C$61,0)</f>
        <v>1.2123554479714405E-2</v>
      </c>
      <c r="E31" s="29">
        <f>IFERROR(HistoriacalIFLS!D56/HistoriacalIFLS!D$61,0)</f>
        <v>0.13464817110973343</v>
      </c>
      <c r="F31" s="29">
        <f>IFERROR(HistoriacalIFLS!E56/HistoriacalIFLS!E$61,0)</f>
        <v>0.13518502679895084</v>
      </c>
      <c r="G31" s="29">
        <f>IFERROR(HistoriacalIFLS!F56/HistoriacalIFLS!F$61,0)</f>
        <v>9.6155697152867342E-2</v>
      </c>
      <c r="H31" s="29">
        <f>IFERROR(HistoriacalIFLS!G56/HistoriacalIFLS!G$61,0)</f>
        <v>7.202918003382669E-2</v>
      </c>
      <c r="I31" s="29">
        <f>IFERROR(HistoriacalIFLS!H56/HistoriacalIFLS!H$61,0)</f>
        <v>0.11364103753935066</v>
      </c>
    </row>
    <row r="32" spans="2:11" x14ac:dyDescent="0.3">
      <c r="B32" t="str">
        <f>IFERROR(HistoriacalIFLS!B57,0)</f>
        <v>Other Non- Current Liabilities</v>
      </c>
      <c r="D32" s="29">
        <f>IFERROR(HistoriacalIFLS!C57/HistoriacalIFLS!C$61,0)</f>
        <v>1.5917250638215641E-2</v>
      </c>
      <c r="E32" s="29">
        <f>IFERROR(HistoriacalIFLS!D57/HistoriacalIFLS!D$61,0)</f>
        <v>2.0745505269683818E-2</v>
      </c>
      <c r="F32" s="29">
        <f>IFERROR(HistoriacalIFLS!E57/HistoriacalIFLS!E$61,0)</f>
        <v>1.2394514767932489E-2</v>
      </c>
      <c r="G32" s="29">
        <f>IFERROR(HistoriacalIFLS!F57/HistoriacalIFLS!F$61,0)</f>
        <v>1.6818423906417437E-2</v>
      </c>
      <c r="H32" s="29">
        <f>IFERROR(HistoriacalIFLS!G57/HistoriacalIFLS!G$61,0)</f>
        <v>1.9706153207215558E-2</v>
      </c>
      <c r="I32" s="29">
        <f>IFERROR(HistoriacalIFLS!H57/HistoriacalIFLS!H$61,0)</f>
        <v>1.0182397266413908E-2</v>
      </c>
    </row>
    <row r="33" spans="2:9" x14ac:dyDescent="0.3">
      <c r="B33" t="str">
        <f>IFERROR(HistoriacalIFLS!B58,0)</f>
        <v xml:space="preserve">Current Borrowings </v>
      </c>
      <c r="D33" s="29">
        <f>IFERROR(HistoriacalIFLS!C58/HistoriacalIFLS!C$61,0)</f>
        <v>1.5815542966405957E-2</v>
      </c>
      <c r="E33" s="29">
        <f>IFERROR(HistoriacalIFLS!D58/HistoriacalIFLS!D$61,0)</f>
        <v>1.7281463112213267E-2</v>
      </c>
      <c r="F33" s="29">
        <f>IFERROR(HistoriacalIFLS!E58/HistoriacalIFLS!E$61,0)</f>
        <v>2.0398563120082109E-2</v>
      </c>
      <c r="G33" s="29">
        <f>IFERROR(HistoriacalIFLS!F58/HistoriacalIFLS!F$61,0)</f>
        <v>6.3205446576959853E-2</v>
      </c>
      <c r="H33" s="29">
        <f>IFERROR(HistoriacalIFLS!G58/HistoriacalIFLS!G$61,0)</f>
        <v>6.6401430110568732E-2</v>
      </c>
      <c r="I33" s="29">
        <f>IFERROR(HistoriacalIFLS!H58/HistoriacalIFLS!H$61,0)</f>
        <v>8.6579378931771089E-2</v>
      </c>
    </row>
    <row r="34" spans="2:9" x14ac:dyDescent="0.3">
      <c r="B34" t="str">
        <f>IFERROR(HistoriacalIFLS!B59,0)</f>
        <v>Payables</v>
      </c>
      <c r="D34" s="29">
        <f>IFERROR(HistoriacalIFLS!C59/HistoriacalIFLS!C$61,0)</f>
        <v>9.0611364815248008E-2</v>
      </c>
      <c r="E34" s="29">
        <f>IFERROR(HistoriacalIFLS!D59/HistoriacalIFLS!D$61,0)</f>
        <v>8.6856788592684434E-2</v>
      </c>
      <c r="F34" s="29">
        <f>IFERROR(HistoriacalIFLS!E59/HistoriacalIFLS!E$61,0)</f>
        <v>7.8244383624130456E-2</v>
      </c>
      <c r="G34" s="29">
        <f>IFERROR(HistoriacalIFLS!F59/HistoriacalIFLS!F$61,0)</f>
        <v>7.876617834844489E-2</v>
      </c>
      <c r="H34" s="29">
        <f>IFERROR(HistoriacalIFLS!G59/HistoriacalIFLS!G$61,0)</f>
        <v>6.6828777965703828E-2</v>
      </c>
      <c r="I34" s="29">
        <f>IFERROR(HistoriacalIFLS!H59/HistoriacalIFLS!H$61,0)</f>
        <v>4.9098032598435995E-2</v>
      </c>
    </row>
    <row r="35" spans="2:9" x14ac:dyDescent="0.3">
      <c r="B35" t="str">
        <f>IFERROR(HistoriacalIFLS!B60,0)</f>
        <v>Other current Liabilities</v>
      </c>
      <c r="D35" s="29">
        <f>IFERROR(HistoriacalIFLS!C60/HistoriacalIFLS!C$61,0)</f>
        <v>2.147048951902442E-2</v>
      </c>
      <c r="E35" s="29">
        <f>IFERROR(HistoriacalIFLS!D60/HistoriacalIFLS!D$61,0)</f>
        <v>2.2938623682579044E-2</v>
      </c>
      <c r="F35" s="29">
        <f>IFERROR(HistoriacalIFLS!E60/HistoriacalIFLS!E$61,0)</f>
        <v>3.4745980157372562E-2</v>
      </c>
      <c r="G35" s="29">
        <f>IFERROR(HistoriacalIFLS!F60/HistoriacalIFLS!F$61,0)</f>
        <v>3.0261612797659154E-2</v>
      </c>
      <c r="H35" s="29">
        <f>IFERROR(HistoriacalIFLS!G60/HistoriacalIFLS!G$61,0)</f>
        <v>2.8704534100553146E-2</v>
      </c>
      <c r="I35" s="29">
        <f>IFERROR(HistoriacalIFLS!H60/HistoriacalIFLS!H$61,0)</f>
        <v>3.5556657052008799E-2</v>
      </c>
    </row>
    <row r="36" spans="2:9" x14ac:dyDescent="0.3">
      <c r="B36" s="46" t="str">
        <f>IFERROR(HistoriacalIFLS!B61,0)</f>
        <v>Total Liabilities</v>
      </c>
      <c r="C36" s="24"/>
      <c r="D36" s="84">
        <f>IFERROR(HistoriacalIFLS!C61/HistoriacalIFLS!C$61,0)</f>
        <v>1</v>
      </c>
      <c r="E36" s="84">
        <f>IFERROR(HistoriacalIFLS!D61/HistoriacalIFLS!D$61,0)</f>
        <v>1</v>
      </c>
      <c r="F36" s="84">
        <f>IFERROR(HistoriacalIFLS!E61/HistoriacalIFLS!E$61,0)</f>
        <v>1</v>
      </c>
      <c r="G36" s="84">
        <f>IFERROR(HistoriacalIFLS!F61/HistoriacalIFLS!F$61,0)</f>
        <v>1</v>
      </c>
      <c r="H36" s="84">
        <f>IFERROR(HistoriacalIFLS!G61/HistoriacalIFLS!G$61,0)</f>
        <v>1</v>
      </c>
      <c r="I36" s="84">
        <f>IFERROR(HistoriacalIFLS!H61/HistoriacalIFLS!H$61,0)</f>
        <v>1</v>
      </c>
    </row>
    <row r="37" spans="2:9" x14ac:dyDescent="0.3">
      <c r="D37" s="29"/>
      <c r="E37" s="29"/>
      <c r="F37" s="29"/>
      <c r="G37" s="29"/>
      <c r="H37" s="29"/>
      <c r="I37" s="29"/>
    </row>
    <row r="38" spans="2:9" x14ac:dyDescent="0.3">
      <c r="B38" t="str">
        <f>IFERROR(HistoriacalIFLS!B63,0)</f>
        <v xml:space="preserve"> Fixed Assets Net Block</v>
      </c>
      <c r="D38" s="29">
        <f>IFERROR(HistoriacalIFLS!C63/HistoriacalIFLS!C$76,0)</f>
        <v>6.9832487464529455E-2</v>
      </c>
      <c r="E38" s="29">
        <f>IFERROR(HistoriacalIFLS!D63/HistoriacalIFLS!D$76,0)</f>
        <v>4.7830130192188472E-2</v>
      </c>
      <c r="F38" s="29">
        <f>IFERROR(HistoriacalIFLS!E63/HistoriacalIFLS!E$76,0)</f>
        <v>6.3412304709773062E-2</v>
      </c>
      <c r="G38" s="29">
        <f>IFERROR(HistoriacalIFLS!F63/HistoriacalIFLS!F$76,0)</f>
        <v>6.2839689170372373E-2</v>
      </c>
      <c r="H38" s="29">
        <f>IFERROR(HistoriacalIFLS!G63/HistoriacalIFLS!G$76,0)</f>
        <v>5.852859920188274E-2</v>
      </c>
      <c r="I38" s="29">
        <f>IFERROR(HistoriacalIFLS!H63/HistoriacalIFLS!H$76,0)</f>
        <v>5.0648330266134432E-2</v>
      </c>
    </row>
    <row r="39" spans="2:9" x14ac:dyDescent="0.3">
      <c r="B39" t="str">
        <f>IFERROR(HistoriacalIFLS!B64,0)</f>
        <v>Capital Work in Progress</v>
      </c>
      <c r="D39" s="29">
        <f>IFERROR(HistoriacalIFLS!C64/HistoriacalIFLS!C$76,0)</f>
        <v>5.8787034305997701E-3</v>
      </c>
      <c r="E39" s="29">
        <f>IFERROR(HistoriacalIFLS!D64/HistoriacalIFLS!D$76,0)</f>
        <v>7.6255424674519529E-3</v>
      </c>
      <c r="F39" s="29">
        <f>IFERROR(HistoriacalIFLS!E64/HistoriacalIFLS!E$76,0)</f>
        <v>8.5528566541224777E-3</v>
      </c>
      <c r="G39" s="29">
        <f>IFERROR(HistoriacalIFLS!F64/HistoriacalIFLS!F$76,0)</f>
        <v>1.9507061684665781E-3</v>
      </c>
      <c r="H39" s="29">
        <f>IFERROR(HistoriacalIFLS!G64/HistoriacalIFLS!G$76,0)</f>
        <v>1.6913344689149577E-3</v>
      </c>
      <c r="I39" s="29">
        <f>IFERROR(HistoriacalIFLS!H64/HistoriacalIFLS!H$76,0)</f>
        <v>9.9661992923471198E-4</v>
      </c>
    </row>
    <row r="40" spans="2:9" x14ac:dyDescent="0.3">
      <c r="B40" t="str">
        <f>IFERROR(HistoriacalIFLS!B65,0)</f>
        <v>Investments</v>
      </c>
      <c r="D40" s="29">
        <f>IFERROR(HistoriacalIFLS!C65/HistoriacalIFLS!C$76,0)</f>
        <v>0.24979404196458538</v>
      </c>
      <c r="E40" s="29">
        <f>IFERROR(HistoriacalIFLS!D65/HistoriacalIFLS!D$76,0)</f>
        <v>0.23811221326720397</v>
      </c>
      <c r="F40" s="29">
        <f>IFERROR(HistoriacalIFLS!E65/HistoriacalIFLS!E$76,0)</f>
        <v>0.23367117117117117</v>
      </c>
      <c r="G40" s="29">
        <f>IFERROR(HistoriacalIFLS!F65/HistoriacalIFLS!F$76,0)</f>
        <v>0.21441725861615366</v>
      </c>
      <c r="H40" s="29">
        <f>IFERROR(HistoriacalIFLS!G65/HistoriacalIFLS!G$76,0)</f>
        <v>0.19968580904171757</v>
      </c>
      <c r="I40" s="29">
        <f>IFERROR(HistoriacalIFLS!H65/HistoriacalIFLS!H$76,0)</f>
        <v>0.31081358988826258</v>
      </c>
    </row>
    <row r="41" spans="2:9" x14ac:dyDescent="0.3">
      <c r="B41" t="str">
        <f>IFERROR(HistoriacalIFLS!B66,0)</f>
        <v>Other Non-current Assets</v>
      </c>
      <c r="D41" s="29">
        <f>IFERROR(HistoriacalIFLS!C66/HistoriacalIFLS!C$76,0)</f>
        <v>2.887480802676946E-2</v>
      </c>
      <c r="E41" s="29">
        <f>IFERROR(HistoriacalIFLS!D66/HistoriacalIFLS!D$76,0)</f>
        <v>0.14898481091134533</v>
      </c>
      <c r="F41" s="29">
        <f>IFERROR(HistoriacalIFLS!E66/HistoriacalIFLS!E$76,0)</f>
        <v>0.15341686623332193</v>
      </c>
      <c r="G41" s="29">
        <f>IFERROR(HistoriacalIFLS!F66/HistoriacalIFLS!F$76,0)</f>
        <v>0.12571787912038551</v>
      </c>
      <c r="H41" s="29">
        <f>IFERROR(HistoriacalIFLS!G66/HistoriacalIFLS!G$76,0)</f>
        <v>0.15893126922312975</v>
      </c>
      <c r="I41" s="29">
        <f>IFERROR(HistoriacalIFLS!H66/HistoriacalIFLS!H$76,0)</f>
        <v>0.13336778439261551</v>
      </c>
    </row>
    <row r="42" spans="2:9" x14ac:dyDescent="0.3">
      <c r="B42" t="str">
        <f>IFERROR(HistoriacalIFLS!B67,0)</f>
        <v>Total  Non Current Assests</v>
      </c>
      <c r="D42" s="29">
        <f>IFERROR(HistoriacalIFLS!C67/HistoriacalIFLS!C$76,0)</f>
        <v>0.35438004088648406</v>
      </c>
      <c r="E42" s="29">
        <f>IFERROR(HistoriacalIFLS!D67/HistoriacalIFLS!D$76,0)</f>
        <v>0.44255269683818971</v>
      </c>
      <c r="F42" s="29">
        <f>IFERROR(HistoriacalIFLS!E67/HistoriacalIFLS!E$76,0)</f>
        <v>0.45905319876838863</v>
      </c>
      <c r="G42" s="29">
        <f>IFERROR(HistoriacalIFLS!F67/HistoriacalIFLS!F$76,0)</f>
        <v>0.4049255330753781</v>
      </c>
      <c r="H42" s="29">
        <f>IFERROR(HistoriacalIFLS!G67/HistoriacalIFLS!G$76,0)</f>
        <v>0.41883701193564504</v>
      </c>
      <c r="I42" s="29">
        <f>IFERROR(HistoriacalIFLS!H67/HistoriacalIFLS!H$76,0)</f>
        <v>0.49582632447624725</v>
      </c>
    </row>
    <row r="43" spans="2:9" x14ac:dyDescent="0.3">
      <c r="B43" t="s">
        <v>676</v>
      </c>
    </row>
    <row r="44" spans="2:9" x14ac:dyDescent="0.3">
      <c r="B44" t="str">
        <f>IFERROR(HistoriacalIFLS!B69,0)</f>
        <v>Receivables</v>
      </c>
      <c r="D44" s="29">
        <f>IFERROR(HistoriacalIFLS!C69/HistoriacalIFLS!C$76,0)</f>
        <v>4.3825835782793095E-2</v>
      </c>
      <c r="E44" s="29">
        <f>IFERROR(HistoriacalIFLS!D69/HistoriacalIFLS!D$76,0)</f>
        <v>5.7741785492870429E-2</v>
      </c>
      <c r="F44" s="29">
        <f>IFERROR(HistoriacalIFLS!E69/HistoriacalIFLS!E$76,0)</f>
        <v>4.1224769072870336E-2</v>
      </c>
      <c r="G44" s="29">
        <f>IFERROR(HistoriacalIFLS!F69/HistoriacalIFLS!F$76,0)</f>
        <v>4.3627800129619289E-2</v>
      </c>
      <c r="H44" s="29">
        <f>IFERROR(HistoriacalIFLS!G69/HistoriacalIFLS!G$76,0)</f>
        <v>4.4209436562919445E-2</v>
      </c>
      <c r="I44" s="29">
        <f>IFERROR(HistoriacalIFLS!H69/HistoriacalIFLS!H$76,0)</f>
        <v>3.1280155662541331E-2</v>
      </c>
    </row>
    <row r="45" spans="2:9" x14ac:dyDescent="0.3">
      <c r="B45" t="str">
        <f>IFERROR(HistoriacalIFLS!B70,0)</f>
        <v>Inventory</v>
      </c>
      <c r="D45" s="29">
        <f>IFERROR(HistoriacalIFLS!C70/HistoriacalIFLS!C$76,0)</f>
        <v>5.9458304939941621E-2</v>
      </c>
      <c r="E45" s="29">
        <f>IFERROR(HistoriacalIFLS!D70/HistoriacalIFLS!D$76,0)</f>
        <v>4.4776813391196525E-2</v>
      </c>
      <c r="F45" s="29">
        <f>IFERROR(HistoriacalIFLS!E70/HistoriacalIFLS!E$76,0)</f>
        <v>6.1409510776599383E-2</v>
      </c>
      <c r="G45" s="29">
        <f>IFERROR(HistoriacalIFLS!F70/HistoriacalIFLS!F$76,0)</f>
        <v>5.1777131820252696E-2</v>
      </c>
      <c r="H45" s="29">
        <f>IFERROR(HistoriacalIFLS!G70/HistoriacalIFLS!G$76,0)</f>
        <v>3.8533534768660352E-2</v>
      </c>
      <c r="I45" s="29">
        <f>IFERROR(HistoriacalIFLS!H70/HistoriacalIFLS!H$76,0)</f>
        <v>3.7539350667840816E-2</v>
      </c>
    </row>
    <row r="46" spans="2:9" x14ac:dyDescent="0.3">
      <c r="B46" t="str">
        <f>IFERROR(HistoriacalIFLS!B71,0)</f>
        <v>Other current Assests</v>
      </c>
      <c r="D46" s="29">
        <f>IFERROR(HistoriacalIFLS!C71/HistoriacalIFLS!C$76,0)</f>
        <v>4.8158582601885658E-2</v>
      </c>
      <c r="E46" s="29">
        <f>IFERROR(HistoriacalIFLS!D71/HistoriacalIFLS!D$76,0)</f>
        <v>6.0934593924364538E-2</v>
      </c>
      <c r="F46" s="29">
        <f>IFERROR(HistoriacalIFLS!E71/HistoriacalIFLS!E$76,0)</f>
        <v>2.6962880602121108E-2</v>
      </c>
      <c r="G46" s="29">
        <f>IFERROR(HistoriacalIFLS!F71/HistoriacalIFLS!F$76,0)</f>
        <v>5.8765023325055663E-2</v>
      </c>
      <c r="H46" s="29">
        <f>IFERROR(HistoriacalIFLS!G71/HistoriacalIFLS!G$76,0)</f>
        <v>3.7119073558001939E-2</v>
      </c>
      <c r="I46" s="29">
        <f>IFERROR(HistoriacalIFLS!H71/HistoriacalIFLS!H$76,0)</f>
        <v>4.5654684377323472E-2</v>
      </c>
    </row>
    <row r="47" spans="2:9" x14ac:dyDescent="0.3">
      <c r="B47" t="str">
        <f>IFERROR(HistoriacalIFLS!B72,0)</f>
        <v>Short term Investment</v>
      </c>
      <c r="D47" s="29">
        <f>IFERROR(HistoriacalIFLS!C72/HistoriacalIFLS!C$76,0)</f>
        <v>0.48044670009458812</v>
      </c>
      <c r="E47" s="29">
        <f>IFERROR(HistoriacalIFLS!D72/HistoriacalIFLS!D$76,0)</f>
        <v>0.38200557966522009</v>
      </c>
      <c r="F47" s="29">
        <f>IFERROR(HistoriacalIFLS!E72/HistoriacalIFLS!E$76,0)</f>
        <v>0.39180636332535068</v>
      </c>
      <c r="G47" s="29">
        <f>IFERROR(HistoriacalIFLS!F72/HistoriacalIFLS!F$76,0)</f>
        <v>0.43065688746863789</v>
      </c>
      <c r="H47" s="29">
        <f>IFERROR(HistoriacalIFLS!G72/HistoriacalIFLS!G$76,0)</f>
        <v>0.44138412553192768</v>
      </c>
      <c r="I47" s="29">
        <f>IFERROR(HistoriacalIFLS!H72/HistoriacalIFLS!H$76,0)</f>
        <v>0.3724141931333414</v>
      </c>
    </row>
    <row r="48" spans="2:9" x14ac:dyDescent="0.3">
      <c r="B48" t="str">
        <f>IFERROR(HistoriacalIFLS!B73,0)</f>
        <v>Cash &amp; Bank</v>
      </c>
      <c r="D48" s="29">
        <f>IFERROR(HistoriacalIFLS!C73/HistoriacalIFLS!C$76,0)</f>
        <v>1.3730535694307421E-2</v>
      </c>
      <c r="E48" s="29">
        <f>IFERROR(HistoriacalIFLS!D73/HistoriacalIFLS!D$76,0)</f>
        <v>1.1988530688158711E-2</v>
      </c>
      <c r="F48" s="29">
        <f>IFERROR(HistoriacalIFLS!E73/HistoriacalIFLS!E$76,0)</f>
        <v>1.9543277454669859E-2</v>
      </c>
      <c r="G48" s="29">
        <f>IFERROR(HistoriacalIFLS!F73/HistoriacalIFLS!F$76,0)</f>
        <v>1.0247624181056333E-2</v>
      </c>
      <c r="H48" s="29">
        <f>IFERROR(HistoriacalIFLS!G73/HistoriacalIFLS!G$76,0)</f>
        <v>1.9916817642845534E-2</v>
      </c>
      <c r="I48" s="29">
        <f>IFERROR(HistoriacalIFLS!H73/HistoriacalIFLS!H$76,0)</f>
        <v>1.7285291682705744E-2</v>
      </c>
    </row>
    <row r="49" spans="2:10" x14ac:dyDescent="0.3">
      <c r="B49" t="str">
        <f>IFERROR(HistoriacalIFLS!B74,0)</f>
        <v>Total Current Assests</v>
      </c>
      <c r="D49" s="29">
        <f>IFERROR(HistoriacalIFLS!C74/HistoriacalIFLS!C$76,0)</f>
        <v>0.64561995911351588</v>
      </c>
      <c r="E49" s="29">
        <f>IFERROR(HistoriacalIFLS!D74/HistoriacalIFLS!D$76,0)</f>
        <v>0.55744730316181024</v>
      </c>
      <c r="F49" s="29">
        <f>IFERROR(HistoriacalIFLS!E74/HistoriacalIFLS!E$76,0)</f>
        <v>0.54094680123161132</v>
      </c>
      <c r="G49" s="29">
        <f>IFERROR(HistoriacalIFLS!F74/HistoriacalIFLS!F$76,0)</f>
        <v>0.59507446692462185</v>
      </c>
      <c r="H49" s="29">
        <f>IFERROR(HistoriacalIFLS!G74/HistoriacalIFLS!G$76,0)</f>
        <v>0.58116298806435496</v>
      </c>
      <c r="I49" s="29">
        <f>IFERROR(HistoriacalIFLS!H74/HistoriacalIFLS!H$76,0)</f>
        <v>0.50417367552375281</v>
      </c>
    </row>
    <row r="50" spans="2:10" x14ac:dyDescent="0.3">
      <c r="B50" t="s">
        <v>676</v>
      </c>
      <c r="D50" s="29"/>
      <c r="E50" s="29"/>
      <c r="F50" s="29"/>
      <c r="G50" s="29"/>
      <c r="H50" s="29"/>
      <c r="I50" s="29"/>
    </row>
    <row r="51" spans="2:10" x14ac:dyDescent="0.3">
      <c r="B51" s="46" t="str">
        <f>IFERROR(HistoriacalIFLS!B76,0)</f>
        <v>Total t Assests</v>
      </c>
      <c r="C51" s="24"/>
      <c r="D51" s="84">
        <f>IFERROR(HistoriacalIFLS!C76/HistoriacalIFLS!C$76,0)</f>
        <v>1</v>
      </c>
      <c r="E51" s="84">
        <f>IFERROR(HistoriacalIFLS!D76/HistoriacalIFLS!D$76,0)</f>
        <v>1</v>
      </c>
      <c r="F51" s="84">
        <f>IFERROR(HistoriacalIFLS!E76/HistoriacalIFLS!E$76,0)</f>
        <v>1</v>
      </c>
      <c r="G51" s="84">
        <f>IFERROR(HistoriacalIFLS!F76/HistoriacalIFLS!F$76,0)</f>
        <v>1</v>
      </c>
      <c r="H51" s="84">
        <f>IFERROR(HistoriacalIFLS!G76/HistoriacalIFLS!G$76,0)</f>
        <v>1</v>
      </c>
      <c r="I51" s="84">
        <f>IFERROR(HistoriacalIFLS!H76/HistoriacalIFLS!H$76,0)</f>
        <v>1</v>
      </c>
    </row>
    <row r="54" spans="2:10" x14ac:dyDescent="0.3">
      <c r="J54" s="37"/>
    </row>
    <row r="59" spans="2:10" x14ac:dyDescent="0.3">
      <c r="B59" s="141" t="s">
        <v>781</v>
      </c>
      <c r="C59" s="141"/>
      <c r="D59" s="141"/>
      <c r="E59" s="141"/>
      <c r="F59" s="141"/>
      <c r="G59" s="141"/>
      <c r="H59" s="141"/>
      <c r="I59" s="141"/>
      <c r="J59" s="47" t="s">
        <v>724</v>
      </c>
    </row>
    <row r="60" spans="2:10" x14ac:dyDescent="0.3">
      <c r="B60" s="139"/>
      <c r="C60" s="139"/>
      <c r="D60" s="85">
        <f>HistoriacalIFLS!C36</f>
        <v>2153</v>
      </c>
      <c r="E60" s="85">
        <f>HistoriacalIFLS!D36</f>
        <v>2135</v>
      </c>
      <c r="F60" s="85">
        <f>HistoriacalIFLS!E36</f>
        <v>2397</v>
      </c>
      <c r="G60" s="85">
        <f>HistoriacalIFLS!F36</f>
        <v>2287</v>
      </c>
      <c r="H60" s="85">
        <f>HistoriacalIFLS!G36</f>
        <v>3375</v>
      </c>
      <c r="I60" s="85">
        <f>HistoriacalIFLS!H36</f>
        <v>3230</v>
      </c>
      <c r="J60" s="139"/>
    </row>
    <row r="61" spans="2:10" x14ac:dyDescent="0.3">
      <c r="B61" s="139"/>
      <c r="C61" s="139"/>
      <c r="D61" s="86"/>
      <c r="E61" s="86"/>
      <c r="F61" s="86"/>
      <c r="G61" s="86"/>
      <c r="H61" s="86"/>
      <c r="I61" s="86"/>
      <c r="J61" s="139"/>
    </row>
    <row r="62" spans="2:10" x14ac:dyDescent="0.3">
      <c r="B62" s="139" t="str">
        <f>IFERROR(HistoriacalIFLS!B87,0)</f>
        <v>Direct taxes paid, net</v>
      </c>
      <c r="C62" s="139"/>
      <c r="D62" s="29">
        <f>IFERROR(HistoriacalIFLS!C87/HistoriacalIFLS!C$61,0)</f>
        <v>-1.8744723914524874E-2</v>
      </c>
      <c r="E62" s="29">
        <f>IFERROR(HistoriacalIFLS!D87/HistoriacalIFLS!D$61,0)</f>
        <v>-1.3158710477371358E-2</v>
      </c>
      <c r="F62" s="29">
        <f>IFERROR(HistoriacalIFLS!E87/HistoriacalIFLS!E$61,0)</f>
        <v>-1.488197057817311E-2</v>
      </c>
      <c r="G62" s="29">
        <f>IFERROR(HistoriacalIFLS!F87/HistoriacalIFLS!F$61,0)</f>
        <v>-1.6125409872883259E-2</v>
      </c>
      <c r="H62" s="29">
        <f>IFERROR(HistoriacalIFLS!G87/HistoriacalIFLS!G$61,0)</f>
        <v>-1.7376806447535528E-2</v>
      </c>
      <c r="I62" s="29">
        <f>IFERROR(HistoriacalIFLS!H87/HistoriacalIFLS!H$61,0)</f>
        <v>-1.5761359621600815E-2</v>
      </c>
      <c r="J62" s="139"/>
    </row>
    <row r="63" spans="2:10" x14ac:dyDescent="0.3">
      <c r="B63" s="139" t="str">
        <f>IFERROR(HistoriacalIFLS!B88,0)</f>
        <v>Net cash generated from operating activities</v>
      </c>
      <c r="C63" s="139"/>
      <c r="D63" s="29">
        <f>IFERROR(HistoriacalIFLS!C88/HistoriacalIFLS!C$61,0)</f>
        <v>3.7916620050650419E-2</v>
      </c>
      <c r="E63" s="29">
        <f>IFERROR(HistoriacalIFLS!D88/HistoriacalIFLS!D$61,0)</f>
        <v>3.6190328580285182E-2</v>
      </c>
      <c r="F63" s="29">
        <f>IFERROR(HistoriacalIFLS!E88/HistoriacalIFLS!E$61,0)</f>
        <v>2.2244554681263542E-2</v>
      </c>
      <c r="G63" s="29">
        <f>IFERROR(HistoriacalIFLS!F88/HistoriacalIFLS!F$61,0)</f>
        <v>4.4109059875129135E-2</v>
      </c>
      <c r="H63" s="29">
        <f>IFERROR(HistoriacalIFLS!G88/HistoriacalIFLS!G$61,0)</f>
        <v>5.1889659987600895E-2</v>
      </c>
      <c r="I63" s="29">
        <f>IFERROR(HistoriacalIFLS!H88/HistoriacalIFLS!H$61,0)</f>
        <v>2.4034886970644535E-2</v>
      </c>
      <c r="J63" s="139"/>
    </row>
    <row r="64" spans="2:10" x14ac:dyDescent="0.3">
      <c r="B64" s="139" t="str">
        <f>IFERROR(HistoriacalIFLS!B89,0)</f>
        <v>B. Cash flows from investing activities</v>
      </c>
      <c r="C64" s="139"/>
      <c r="D64" s="29">
        <f>IFERROR(HistoriacalIFLS!C89/HistoriacalIFLS!C$61,0)</f>
        <v>0</v>
      </c>
      <c r="E64" s="29">
        <f>IFERROR(HistoriacalIFLS!D89/HistoriacalIFLS!D$61,0)</f>
        <v>0</v>
      </c>
      <c r="F64" s="29">
        <f>IFERROR(HistoriacalIFLS!E89/HistoriacalIFLS!E$61,0)</f>
        <v>0</v>
      </c>
      <c r="G64" s="29">
        <f>IFERROR(HistoriacalIFLS!F89/HistoriacalIFLS!F$61,0)</f>
        <v>0</v>
      </c>
      <c r="H64" s="29">
        <f>IFERROR(HistoriacalIFLS!G89/HistoriacalIFLS!G$61,0)</f>
        <v>0</v>
      </c>
      <c r="I64" s="29">
        <f>IFERROR(HistoriacalIFLS!H89/HistoriacalIFLS!H$61,0)</f>
        <v>0</v>
      </c>
      <c r="J64" s="139"/>
    </row>
    <row r="65" spans="2:10" x14ac:dyDescent="0.3">
      <c r="B65" s="139" t="str">
        <f>IFERROR(HistoriacalIFLS!B90,0)</f>
        <v>Fixed Assets Purchased</v>
      </c>
      <c r="C65" s="139"/>
      <c r="D65" s="29">
        <f>IFERROR(HistoriacalIFLS!C90/HistoriacalIFLS!C$61,0)</f>
        <v>-8.6553228710041594E-3</v>
      </c>
      <c r="E65" s="29">
        <f>IFERROR(HistoriacalIFLS!D90/HistoriacalIFLS!D$61,0)</f>
        <v>-3.9600123992560446E-3</v>
      </c>
      <c r="F65" s="29">
        <f>IFERROR(HistoriacalIFLS!E90/HistoriacalIFLS!E$61,0)</f>
        <v>-1.5380887216330255E-2</v>
      </c>
      <c r="G65" s="29">
        <f>IFERROR(HistoriacalIFLS!F90/HistoriacalIFLS!F$61,0)</f>
        <v>-1.06647159604982E-2</v>
      </c>
      <c r="H65" s="29">
        <f>IFERROR(HistoriacalIFLS!G90/HistoriacalIFLS!G$61,0)</f>
        <v>-5.1823451164974329E-3</v>
      </c>
      <c r="I65" s="29">
        <f>IFERROR(HistoriacalIFLS!H90/HistoriacalIFLS!H$61,0)</f>
        <v>-7.4351010593700726E-3</v>
      </c>
      <c r="J65" s="139"/>
    </row>
    <row r="66" spans="2:10" x14ac:dyDescent="0.3">
      <c r="B66" s="139" t="str">
        <f>IFERROR(HistoriacalIFLS!B91,0)</f>
        <v>Fixed Assets Sold</v>
      </c>
      <c r="C66" s="139"/>
      <c r="D66" s="29">
        <f>IFERROR(HistoriacalIFLS!C91/HistoriacalIFLS!C$61,0)</f>
        <v>2.0341534361936922E-5</v>
      </c>
      <c r="E66" s="29">
        <f>IFERROR(HistoriacalIFLS!D91/HistoriacalIFLS!D$61,0)</f>
        <v>2.4798512089274643E-4</v>
      </c>
      <c r="F66" s="29">
        <f>IFERROR(HistoriacalIFLS!E91/HistoriacalIFLS!E$61,0)</f>
        <v>2.2094879689816399E-4</v>
      </c>
      <c r="G66" s="29">
        <f>IFERROR(HistoriacalIFLS!F91/HistoriacalIFLS!F$61,0)</f>
        <v>8.3418355888373411E-5</v>
      </c>
      <c r="H66" s="29">
        <f>IFERROR(HistoriacalIFLS!G91/HistoriacalIFLS!G$61,0)</f>
        <v>1.6853154850398155E-4</v>
      </c>
      <c r="I66" s="29">
        <f>IFERROR(HistoriacalIFLS!H91/HistoriacalIFLS!H$61,0)</f>
        <v>6.5914016483777245E-4</v>
      </c>
      <c r="J66" s="139"/>
    </row>
    <row r="67" spans="2:10" x14ac:dyDescent="0.3">
      <c r="B67" s="139" t="str">
        <f>IFERROR(HistoriacalIFLS!B92,0)</f>
        <v>Investments Purchased</v>
      </c>
      <c r="C67" s="139"/>
      <c r="D67" s="29">
        <f>IFERROR(HistoriacalIFLS!C92/HistoriacalIFLS!C$61,0)</f>
        <v>-1.1333997823455824</v>
      </c>
      <c r="E67" s="29">
        <f>IFERROR(HistoriacalIFLS!D92/HistoriacalIFLS!D$61,0)</f>
        <v>-0.78112988220706758</v>
      </c>
      <c r="F67" s="29">
        <f>IFERROR(HistoriacalIFLS!E92/HistoriacalIFLS!E$61,0)</f>
        <v>-0.64768645227505983</v>
      </c>
      <c r="G67" s="29">
        <f>IFERROR(HistoriacalIFLS!F92/HistoriacalIFLS!F$61,0)</f>
        <v>-0.67117125788463883</v>
      </c>
      <c r="H67" s="29">
        <f>IFERROR(HistoriacalIFLS!G92/HistoriacalIFLS!G$61,0)</f>
        <v>-0.45487266839612139</v>
      </c>
      <c r="I67" s="29">
        <f>IFERROR(HistoriacalIFLS!H92/HistoriacalIFLS!H$61,0)</f>
        <v>-0.84021387780068657</v>
      </c>
      <c r="J67" s="139"/>
    </row>
    <row r="68" spans="2:10" x14ac:dyDescent="0.3">
      <c r="B68" s="139" t="str">
        <f>IFERROR(HistoriacalIFLS!B93,0)</f>
        <v>Investments Sold</v>
      </c>
      <c r="C68" s="139"/>
      <c r="D68" s="29">
        <f>IFERROR(HistoriacalIFLS!C93/HistoriacalIFLS!C$61,0)</f>
        <v>1.0940592548895964</v>
      </c>
      <c r="E68" s="29">
        <f>IFERROR(HistoriacalIFLS!D93/HistoriacalIFLS!D$61,0)</f>
        <v>0.80953192808431496</v>
      </c>
      <c r="F68" s="29">
        <f>IFERROR(HistoriacalIFLS!E93/HistoriacalIFLS!E$61,0)</f>
        <v>0.62816455696202533</v>
      </c>
      <c r="G68" s="29">
        <f>IFERROR(HistoriacalIFLS!F93/HistoriacalIFLS!F$61,0)</f>
        <v>0.62876906590691795</v>
      </c>
      <c r="H68" s="29">
        <f>IFERROR(HistoriacalIFLS!G93/HistoriacalIFLS!G$61,0)</f>
        <v>0.44812538747208697</v>
      </c>
      <c r="I68" s="29">
        <f>IFERROR(HistoriacalIFLS!H93/HistoriacalIFLS!H$61,0)</f>
        <v>0.76881054202414034</v>
      </c>
      <c r="J68" s="139"/>
    </row>
    <row r="69" spans="2:10" x14ac:dyDescent="0.3">
      <c r="B69" s="46" t="str">
        <f>IFERROR(HistoriacalIFLS!B94,0)</f>
        <v>Interest Received/Dividends recived</v>
      </c>
      <c r="C69" s="24"/>
      <c r="D69" s="84">
        <f>IFERROR(HistoriacalIFLS!C94/HistoriacalIFLS!C$61,0)</f>
        <v>1.2387994426419585E-2</v>
      </c>
      <c r="E69" s="84">
        <f>IFERROR(HistoriacalIFLS!D94/HistoriacalIFLS!D$61,0)</f>
        <v>8.1137631742095474E-3</v>
      </c>
      <c r="F69" s="84">
        <f>IFERROR(HistoriacalIFLS!E94/HistoriacalIFLS!E$61,0)</f>
        <v>1.4803569392176988E-2</v>
      </c>
      <c r="G69" s="84">
        <f>IFERROR(HistoriacalIFLS!F94/HistoriacalIFLS!F$61,0)</f>
        <v>1.5785319652722968E-2</v>
      </c>
      <c r="H69" s="84">
        <f>IFERROR(HistoriacalIFLS!G94/HistoriacalIFLS!G$61,0)</f>
        <v>1.9892741707344966E-2</v>
      </c>
      <c r="I69" s="84">
        <f>IFERROR(HistoriacalIFLS!H94/HistoriacalIFLS!H$61,0)</f>
        <v>8.574095264209743E-3</v>
      </c>
      <c r="J69" s="139"/>
    </row>
    <row r="70" spans="2:10" x14ac:dyDescent="0.3">
      <c r="B70" s="139"/>
      <c r="C70" s="139"/>
      <c r="D70" s="29"/>
      <c r="E70" s="29"/>
      <c r="F70" s="29"/>
      <c r="G70" s="29"/>
      <c r="H70" s="29"/>
      <c r="I70" s="29"/>
      <c r="J70" s="139"/>
    </row>
    <row r="71" spans="2:10" x14ac:dyDescent="0.3">
      <c r="B71" s="139" t="str">
        <f>IFERROR(HistoriacalIFLS!B96,0)</f>
        <v>Redemption &amp; Cancellation of Shares</v>
      </c>
      <c r="C71" s="139"/>
      <c r="D71" s="29">
        <f>IFERROR(HistoriacalIFLS!C96/HistoriacalIFLS!C$76,0)</f>
        <v>0</v>
      </c>
      <c r="E71" s="29">
        <f>IFERROR(HistoriacalIFLS!D96/HistoriacalIFLS!D$76,0)</f>
        <v>0</v>
      </c>
      <c r="F71" s="29">
        <f>IFERROR(HistoriacalIFLS!E96/HistoriacalIFLS!E$76,0)</f>
        <v>0</v>
      </c>
      <c r="G71" s="29">
        <f>IFERROR(HistoriacalIFLS!F96/HistoriacalIFLS!F$76,0)</f>
        <v>0</v>
      </c>
      <c r="H71" s="29">
        <f>IFERROR(HistoriacalIFLS!G96/HistoriacalIFLS!G$76,0)</f>
        <v>0</v>
      </c>
      <c r="I71" s="29">
        <f>IFERROR(HistoriacalIFLS!H96/HistoriacalIFLS!H$76,0)</f>
        <v>0</v>
      </c>
      <c r="J71" s="139"/>
    </row>
    <row r="72" spans="2:10" x14ac:dyDescent="0.3">
      <c r="B72" s="139" t="str">
        <f>IFERROR(HistoriacalIFLS!B97,0)</f>
        <v>Acquisition of Companies</v>
      </c>
      <c r="C72" s="139"/>
      <c r="D72" s="29">
        <f>IFERROR(HistoriacalIFLS!C97/HistoriacalIFLS!C$76,0)</f>
        <v>0</v>
      </c>
      <c r="E72" s="29">
        <f>IFERROR(HistoriacalIFLS!D97/HistoriacalIFLS!D$76,0)</f>
        <v>0</v>
      </c>
      <c r="F72" s="29">
        <f>IFERROR(HistoriacalIFLS!E97/HistoriacalIFLS!E$76,0)</f>
        <v>0</v>
      </c>
      <c r="G72" s="29">
        <f>IFERROR(HistoriacalIFLS!F97/HistoriacalIFLS!F$76,0)</f>
        <v>0</v>
      </c>
      <c r="H72" s="29">
        <f>IFERROR(HistoriacalIFLS!G97/HistoriacalIFLS!G$76,0)</f>
        <v>-2.0392317368981769E-2</v>
      </c>
      <c r="I72" s="29">
        <f>IFERROR(HistoriacalIFLS!H97/HistoriacalIFLS!H$76,0)</f>
        <v>0</v>
      </c>
      <c r="J72" s="139"/>
    </row>
    <row r="73" spans="2:10" x14ac:dyDescent="0.3">
      <c r="B73" s="139" t="str">
        <f>IFERROR(HistoriacalIFLS!B98,0)</f>
        <v>Inter-Corporate Deposits</v>
      </c>
      <c r="C73" s="139"/>
      <c r="D73" s="29">
        <f>IFERROR(HistoriacalIFLS!C98/HistoriacalIFLS!C$76,0)</f>
        <v>0</v>
      </c>
      <c r="E73" s="29">
        <f>IFERROR(HistoriacalIFLS!D98/HistoriacalIFLS!D$76,0)</f>
        <v>-2.7262864228146312E-2</v>
      </c>
      <c r="F73" s="29">
        <f>IFERROR(HistoriacalIFLS!E98/HistoriacalIFLS!E$76,0)</f>
        <v>2.5074124757669063E-2</v>
      </c>
      <c r="G73" s="29">
        <f>IFERROR(HistoriacalIFLS!F98/HistoriacalIFLS!F$76,0)</f>
        <v>0</v>
      </c>
      <c r="H73" s="29">
        <f>IFERROR(HistoriacalIFLS!G98/HistoriacalIFLS!G$76,0)</f>
        <v>0</v>
      </c>
      <c r="I73" s="29">
        <f>IFERROR(HistoriacalIFLS!H98/HistoriacalIFLS!H$76,0)</f>
        <v>0</v>
      </c>
      <c r="J73" s="139"/>
    </row>
    <row r="74" spans="2:10" x14ac:dyDescent="0.3">
      <c r="B74" s="139" t="str">
        <f>IFERROR(HistoriacalIFLS!B99,0)</f>
        <v>Other Investing Items</v>
      </c>
      <c r="C74" s="139"/>
      <c r="D74" s="29">
        <f>IFERROR(HistoriacalIFLS!C99/HistoriacalIFLS!C$76,0)</f>
        <v>0</v>
      </c>
      <c r="E74" s="29">
        <f>IFERROR(HistoriacalIFLS!D99/HistoriacalIFLS!D$76,0)</f>
        <v>0</v>
      </c>
      <c r="F74" s="29">
        <f>IFERROR(HistoriacalIFLS!E99/HistoriacalIFLS!E$76,0)</f>
        <v>0</v>
      </c>
      <c r="G74" s="29">
        <f>IFERROR(HistoriacalIFLS!F99/HistoriacalIFLS!F$76,0)</f>
        <v>0</v>
      </c>
      <c r="H74" s="29">
        <f>IFERROR(HistoriacalIFLS!G99/HistoriacalIFLS!G$76,0)</f>
        <v>1.9549659626461862E-2</v>
      </c>
      <c r="I74" s="29">
        <f>IFERROR(HistoriacalIFLS!H99/HistoriacalIFLS!H$76,0)</f>
        <v>9.4547065244330077E-3</v>
      </c>
      <c r="J74" s="139"/>
    </row>
    <row r="75" spans="2:10" x14ac:dyDescent="0.3">
      <c r="B75" s="139" t="str">
        <f>IFERROR(HistoriacalIFLS!B100,0)</f>
        <v>Cash From Investing Activities</v>
      </c>
      <c r="C75" s="139"/>
      <c r="D75" s="29">
        <f>IFERROR(HistoriacalIFLS!C100/HistoriacalIFLS!C$76,0)</f>
        <v>-3.6858860263829701E-2</v>
      </c>
      <c r="E75" s="29">
        <f>IFERROR(HistoriacalIFLS!D100/HistoriacalIFLS!D$76,0)</f>
        <v>-0.16375542467451953</v>
      </c>
      <c r="F75" s="29">
        <f>IFERROR(HistoriacalIFLS!E100/HistoriacalIFLS!E$76,0)</f>
        <v>-2.1852548751282928E-2</v>
      </c>
      <c r="G75" s="29">
        <f>IFERROR(HistoriacalIFLS!F100/HistoriacalIFLS!F$76,0)</f>
        <v>-6.2127424747017795E-2</v>
      </c>
      <c r="H75" s="29">
        <f>IFERROR(HistoriacalIFLS!G100/HistoriacalIFLS!G$76,0)</f>
        <v>-1.5703528930245996E-2</v>
      </c>
      <c r="I75" s="29">
        <f>IFERROR(HistoriacalIFLS!H100/HistoriacalIFLS!H$76,0)</f>
        <v>-9.0718779166952299E-2</v>
      </c>
      <c r="J75" s="139"/>
    </row>
    <row r="76" spans="2:10" x14ac:dyDescent="0.3">
      <c r="B76" s="139" t="s">
        <v>676</v>
      </c>
      <c r="C76" s="139"/>
      <c r="D76" s="139"/>
      <c r="E76" s="139"/>
      <c r="F76" s="139"/>
      <c r="G76" s="139"/>
      <c r="H76" s="139"/>
      <c r="I76" s="139"/>
      <c r="J76" s="139"/>
    </row>
    <row r="77" spans="2:10" x14ac:dyDescent="0.3">
      <c r="B77" s="139" t="str">
        <f>IFERROR(HistoriacalIFLS!B102,0)</f>
        <v>Proceeds from Shares</v>
      </c>
      <c r="C77" s="139"/>
      <c r="D77" s="29">
        <f>IFERROR(HistoriacalIFLS!C102/HistoriacalIFLS!C$76,0)</f>
        <v>0</v>
      </c>
      <c r="E77" s="29">
        <f>IFERROR(HistoriacalIFLS!D102/HistoriacalIFLS!D$76,0)</f>
        <v>0</v>
      </c>
      <c r="F77" s="29">
        <f>IFERROR(HistoriacalIFLS!E102/HistoriacalIFLS!E$76,0)</f>
        <v>0</v>
      </c>
      <c r="G77" s="29">
        <f>IFERROR(HistoriacalIFLS!F102/HistoriacalIFLS!F$76,0)</f>
        <v>0</v>
      </c>
      <c r="H77" s="29">
        <f>IFERROR(HistoriacalIFLS!G102/HistoriacalIFLS!G$76,0)</f>
        <v>0</v>
      </c>
      <c r="I77" s="29">
        <f>IFERROR(HistoriacalIFLS!H102/HistoriacalIFLS!H$76,0)</f>
        <v>0</v>
      </c>
      <c r="J77" s="139"/>
    </row>
    <row r="78" spans="2:10" x14ac:dyDescent="0.3">
      <c r="B78" s="139" t="str">
        <f>IFERROR(HistoriacalIFLS!B103,0)</f>
        <v>Proceeds from Borrowings</v>
      </c>
      <c r="C78" s="139"/>
      <c r="D78" s="29">
        <f>IFERROR(HistoriacalIFLS!C103/HistoriacalIFLS!C$76,0)</f>
        <v>1.637493516135922E-3</v>
      </c>
      <c r="E78" s="29">
        <f>IFERROR(HistoriacalIFLS!D103/HistoriacalIFLS!D$76,0)</f>
        <v>0.13698853068815872</v>
      </c>
      <c r="F78" s="29">
        <f>IFERROR(HistoriacalIFLS!E103/HistoriacalIFLS!E$76,0)</f>
        <v>8.0724712053825975E-2</v>
      </c>
      <c r="G78" s="29">
        <f>IFERROR(HistoriacalIFLS!F103/HistoriacalIFLS!F$76,0)</f>
        <v>3.5420717269524706E-2</v>
      </c>
      <c r="H78" s="29">
        <f>IFERROR(HistoriacalIFLS!G103/HistoriacalIFLS!G$76,0)</f>
        <v>4.5028018369938784E-2</v>
      </c>
      <c r="I78" s="29">
        <f>IFERROR(HistoriacalIFLS!H103/HistoriacalIFLS!H$76,0)</f>
        <v>0.11253895518374191</v>
      </c>
      <c r="J78" s="139"/>
    </row>
    <row r="79" spans="2:10" x14ac:dyDescent="0.3">
      <c r="B79" s="139" t="str">
        <f>IFERROR(HistoriacalIFLS!B104,0)</f>
        <v>Repayment of Borrowings</v>
      </c>
      <c r="C79" s="139"/>
      <c r="D79" s="29">
        <f>IFERROR(HistoriacalIFLS!C104/HistoriacalIFLS!C$76,0)</f>
        <v>-3.1529378261002227E-3</v>
      </c>
      <c r="E79" s="29">
        <f>IFERROR(HistoriacalIFLS!D104/HistoriacalIFLS!D$76,0)</f>
        <v>-1.5576565406075636E-3</v>
      </c>
      <c r="F79" s="29">
        <f>IFERROR(HistoriacalIFLS!E104/HistoriacalIFLS!E$76,0)</f>
        <v>-6.4787889154977768E-2</v>
      </c>
      <c r="G79" s="29">
        <f>IFERROR(HistoriacalIFLS!F104/HistoriacalIFLS!F$76,0)</f>
        <v>-1.6131826669490056E-2</v>
      </c>
      <c r="H79" s="29">
        <f>IFERROR(HistoriacalIFLS!G104/HistoriacalIFLS!G$76,0)</f>
        <v>-5.6078872764699861E-2</v>
      </c>
      <c r="I79" s="29">
        <f>IFERROR(HistoriacalIFLS!H104/HistoriacalIFLS!H$76,0)</f>
        <v>-3.3595055921451587E-2</v>
      </c>
      <c r="J79" s="139"/>
    </row>
    <row r="80" spans="2:10" x14ac:dyDescent="0.3">
      <c r="B80" s="139" t="str">
        <f>IFERROR(HistoriacalIFLS!B105,0)</f>
        <v>Interest Paid</v>
      </c>
      <c r="C80" s="139"/>
      <c r="D80" s="29">
        <f>IFERROR(HistoriacalIFLS!C105/HistoriacalIFLS!C$76,0)</f>
        <v>-8.950275119252245E-4</v>
      </c>
      <c r="E80" s="29">
        <f>IFERROR(HistoriacalIFLS!D105/HistoriacalIFLS!D$76,0)</f>
        <v>-5.7501549907005576E-3</v>
      </c>
      <c r="F80" s="29">
        <f>IFERROR(HistoriacalIFLS!E105/HistoriacalIFLS!E$76,0)</f>
        <v>-7.9399019272436994E-3</v>
      </c>
      <c r="G80" s="29">
        <f>IFERROR(HistoriacalIFLS!F105/HistoriacalIFLS!F$76,0)</f>
        <v>-7.9696613856430586E-3</v>
      </c>
      <c r="H80" s="29">
        <f>IFERROR(HistoriacalIFLS!G105/HistoriacalIFLS!G$76,0)</f>
        <v>-9.6785260712286547E-3</v>
      </c>
      <c r="I80" s="29">
        <f>IFERROR(HistoriacalIFLS!H105/HistoriacalIFLS!H$76,0)</f>
        <v>-1.1896161694992117E-2</v>
      </c>
      <c r="J80" s="139"/>
    </row>
    <row r="81" spans="2:10" x14ac:dyDescent="0.3">
      <c r="B81" s="139" t="str">
        <f>IFERROR(HistoriacalIFLS!B106,0)</f>
        <v>Dividends Paid</v>
      </c>
      <c r="C81" s="139"/>
      <c r="D81" s="29">
        <f>IFERROR(HistoriacalIFLS!C106/HistoriacalIFLS!C$76,0)</f>
        <v>0</v>
      </c>
      <c r="E81" s="29">
        <f>IFERROR(HistoriacalIFLS!D106/HistoriacalIFLS!D$76,0)</f>
        <v>0</v>
      </c>
      <c r="F81" s="29">
        <f>IFERROR(HistoriacalIFLS!E106/HistoriacalIFLS!E$76,0)</f>
        <v>0</v>
      </c>
      <c r="G81" s="29">
        <f>IFERROR(HistoriacalIFLS!F106/HistoriacalIFLS!F$76,0)</f>
        <v>0</v>
      </c>
      <c r="H81" s="29">
        <f>IFERROR(HistoriacalIFLS!G106/HistoriacalIFLS!G$76,0)</f>
        <v>0</v>
      </c>
      <c r="I81" s="29">
        <f>IFERROR(HistoriacalIFLS!H106/HistoriacalIFLS!H$76,0)</f>
        <v>0</v>
      </c>
      <c r="J81" s="139"/>
    </row>
    <row r="82" spans="2:10" x14ac:dyDescent="0.3">
      <c r="B82" s="139" t="str">
        <f>IFERROR(HistoriacalIFLS!B107,0)</f>
        <v>Financial Liabilities</v>
      </c>
      <c r="C82" s="139"/>
      <c r="D82" s="29">
        <f>IFERROR(HistoriacalIFLS!C107/HistoriacalIFLS!C$76,0)</f>
        <v>0</v>
      </c>
      <c r="E82" s="29">
        <f>IFERROR(HistoriacalIFLS!D107/HistoriacalIFLS!D$76,0)</f>
        <v>0</v>
      </c>
      <c r="F82" s="29">
        <f>IFERROR(HistoriacalIFLS!E107/HistoriacalIFLS!E$76,0)</f>
        <v>0</v>
      </c>
      <c r="G82" s="29">
        <f>IFERROR(HistoriacalIFLS!F107/HistoriacalIFLS!F$76,0)</f>
        <v>0</v>
      </c>
      <c r="H82" s="29">
        <f>IFERROR(HistoriacalIFLS!G107/HistoriacalIFLS!G$76,0)</f>
        <v>0</v>
      </c>
      <c r="I82" s="29">
        <f>IFERROR(HistoriacalIFLS!H107/HistoriacalIFLS!H$76,0)</f>
        <v>0</v>
      </c>
      <c r="J82" s="139"/>
    </row>
    <row r="83" spans="2:10" x14ac:dyDescent="0.3">
      <c r="B83" s="139" t="s">
        <v>676</v>
      </c>
      <c r="C83" s="139"/>
      <c r="D83" s="29"/>
      <c r="E83" s="29"/>
      <c r="F83" s="29"/>
      <c r="G83" s="29"/>
      <c r="H83" s="29"/>
      <c r="I83" s="29"/>
      <c r="J83" s="139"/>
    </row>
    <row r="84" spans="2:10" x14ac:dyDescent="0.3">
      <c r="B84" s="46" t="str">
        <f>IFERROR(HistoriacalIFLS!B109,0)</f>
        <v>Cash From Financing Activities</v>
      </c>
      <c r="C84" s="24"/>
      <c r="D84" s="84">
        <f>IFERROR(HistoriacalIFLS!C109/HistoriacalIFLS!C$76,0)</f>
        <v>-3.2851577994528129E-3</v>
      </c>
      <c r="E84" s="84">
        <f>IFERROR(HistoriacalIFLS!D109/HistoriacalIFLS!D$76,0)</f>
        <v>0.12908400495970243</v>
      </c>
      <c r="F84" s="84">
        <f>IFERROR(HistoriacalIFLS!E109/HistoriacalIFLS!E$76,0)</f>
        <v>7.3554567225453298E-3</v>
      </c>
      <c r="G84" s="84">
        <f>IFERROR(HistoriacalIFLS!F109/HistoriacalIFLS!F$76,0)</f>
        <v>1.0671132757104998E-2</v>
      </c>
      <c r="H84" s="84">
        <f>IFERROR(HistoriacalIFLS!G109/HistoriacalIFLS!G$76,0)</f>
        <v>-2.5881630663111454E-2</v>
      </c>
      <c r="I84" s="84">
        <f>IFERROR(HistoriacalIFLS!H109/HistoriacalIFLS!H$76,0)</f>
        <v>6.6520425435427993E-2</v>
      </c>
      <c r="J84" s="139"/>
    </row>
  </sheetData>
  <mergeCells count="3">
    <mergeCell ref="B2:I2"/>
    <mergeCell ref="B26:I26"/>
    <mergeCell ref="B59:I59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1D281AF4-F02A-4228-8E29-8BCF1C5F68D6}">
          <x14:colorSeries theme="4" tint="-0.249977111117893"/>
          <x14:colorNegative theme="4"/>
          <x14:colorAxis rgb="FF000000"/>
          <x14:colorMarkers theme="9" tint="-0.499984740745262"/>
          <x14:colorFirst theme="9" tint="0.39997558519241921"/>
          <x14:colorLast theme="9" tint="0.39997558519241921"/>
          <x14:colorHigh theme="9"/>
          <x14:colorLow theme="9"/>
          <x14:sparklines>
            <x14:sparkline>
              <xm:f>'Commen-Size'!D77:I77</xm:f>
              <xm:sqref>J77</xm:sqref>
            </x14:sparkline>
            <x14:sparkline>
              <xm:f>'Commen-Size'!D78:I78</xm:f>
              <xm:sqref>J78</xm:sqref>
            </x14:sparkline>
            <x14:sparkline>
              <xm:f>'Commen-Size'!D79:I79</xm:f>
              <xm:sqref>J79</xm:sqref>
            </x14:sparkline>
            <x14:sparkline>
              <xm:f>'Commen-Size'!D80:I80</xm:f>
              <xm:sqref>J80</xm:sqref>
            </x14:sparkline>
            <x14:sparkline>
              <xm:f>'Commen-Size'!D81:I81</xm:f>
              <xm:sqref>J81</xm:sqref>
            </x14:sparkline>
            <x14:sparkline>
              <xm:f>'Commen-Size'!D82:I82</xm:f>
              <xm:sqref>J82</xm:sqref>
            </x14:sparkline>
          </x14:sparklines>
        </x14:sparklineGroup>
        <x14:sparklineGroup displayEmptyCellsAs="gap" markers="1" negative="1" xr2:uid="{AC227FDD-806D-46B3-B9EC-194172EC66E7}">
          <x14:colorSeries theme="4" tint="-0.249977111117893"/>
          <x14:colorNegative theme="4"/>
          <x14:colorAxis rgb="FF000000"/>
          <x14:colorMarkers theme="9" tint="-0.499984740745262"/>
          <x14:colorFirst theme="9" tint="0.39997558519241921"/>
          <x14:colorLast theme="9" tint="0.39997558519241921"/>
          <x14:colorHigh theme="9"/>
          <x14:colorLow theme="9"/>
          <x14:sparklines>
            <x14:sparkline>
              <xm:f>'Commen-Size'!D71:I71</xm:f>
              <xm:sqref>J71</xm:sqref>
            </x14:sparkline>
            <x14:sparkline>
              <xm:f>'Commen-Size'!D72:I72</xm:f>
              <xm:sqref>J72</xm:sqref>
            </x14:sparkline>
            <x14:sparkline>
              <xm:f>'Commen-Size'!D73:I73</xm:f>
              <xm:sqref>J73</xm:sqref>
            </x14:sparkline>
            <x14:sparkline>
              <xm:f>'Commen-Size'!D74:I74</xm:f>
              <xm:sqref>J74</xm:sqref>
            </x14:sparkline>
            <x14:sparkline>
              <xm:f>'Commen-Size'!D75:I75</xm:f>
              <xm:sqref>J75</xm:sqref>
            </x14:sparkline>
          </x14:sparklines>
        </x14:sparklineGroup>
        <x14:sparklineGroup displayEmptyCellsAs="gap" markers="1" negative="1" xr2:uid="{F13CC315-9DAF-4E3B-9E5F-8FB5BA40BD3A}">
          <x14:colorSeries theme="4" tint="-0.249977111117893"/>
          <x14:colorNegative theme="4"/>
          <x14:colorAxis rgb="FF000000"/>
          <x14:colorMarkers theme="9" tint="-0.499984740745262"/>
          <x14:colorFirst theme="9" tint="0.39997558519241921"/>
          <x14:colorLast theme="9" tint="0.39997558519241921"/>
          <x14:colorHigh theme="9"/>
          <x14:colorLow theme="9"/>
          <x14:sparklines>
            <x14:sparkline>
              <xm:f>'Commen-Size'!D62:I62</xm:f>
              <xm:sqref>J62</xm:sqref>
            </x14:sparkline>
            <x14:sparkline>
              <xm:f>'Commen-Size'!D63:I63</xm:f>
              <xm:sqref>J63</xm:sqref>
            </x14:sparkline>
            <x14:sparkline>
              <xm:f>'Commen-Size'!D64:I64</xm:f>
              <xm:sqref>J64</xm:sqref>
            </x14:sparkline>
            <x14:sparkline>
              <xm:f>'Commen-Size'!D65:I65</xm:f>
              <xm:sqref>J65</xm:sqref>
            </x14:sparkline>
            <x14:sparkline>
              <xm:f>'Commen-Size'!D66:I66</xm:f>
              <xm:sqref>J66</xm:sqref>
            </x14:sparkline>
            <x14:sparkline>
              <xm:f>'Commen-Size'!D67:I67</xm:f>
              <xm:sqref>J67</xm:sqref>
            </x14:sparkline>
            <x14:sparkline>
              <xm:f>'Commen-Size'!D68:I68</xm:f>
              <xm:sqref>J68</xm:sqref>
            </x14:sparkline>
          </x14:sparklines>
        </x14:sparklineGroup>
        <x14:sparklineGroup displayEmptyCellsAs="gap" markers="1" negative="1" xr2:uid="{2F8E1AC7-132A-4872-B7F1-FA75833FF9E5}">
          <x14:colorSeries theme="4" tint="-0.249977111117893"/>
          <x14:colorNegative theme="4"/>
          <x14:colorAxis rgb="FF000000"/>
          <x14:colorMarkers theme="9" tint="-0.499984740745262"/>
          <x14:colorFirst theme="9" tint="0.39997558519241921"/>
          <x14:colorLast theme="9" tint="0.39997558519241921"/>
          <x14:colorHigh theme="9"/>
          <x14:colorLow theme="9"/>
          <x14:sparklines>
            <x14:sparkline>
              <xm:f>'Commen-Size'!D29:I29</xm:f>
              <xm:sqref>J29</xm:sqref>
            </x14:sparkline>
            <x14:sparkline>
              <xm:f>'Commen-Size'!D30:I30</xm:f>
              <xm:sqref>J30</xm:sqref>
            </x14:sparkline>
            <x14:sparkline>
              <xm:f>'Commen-Size'!D31:I31</xm:f>
              <xm:sqref>J31</xm:sqref>
            </x14:sparkline>
            <x14:sparkline>
              <xm:f>'Commen-Size'!D32:I32</xm:f>
              <xm:sqref>J32</xm:sqref>
            </x14:sparkline>
            <x14:sparkline>
              <xm:f>'Commen-Size'!D33:I33</xm:f>
              <xm:sqref>J33</xm:sqref>
            </x14:sparkline>
            <x14:sparkline>
              <xm:f>'Commen-Size'!D34:I34</xm:f>
              <xm:sqref>J34</xm:sqref>
            </x14:sparkline>
            <x14:sparkline>
              <xm:f>'Commen-Size'!D35:I35</xm:f>
              <xm:sqref>J35</xm:sqref>
            </x14:sparkline>
          </x14:sparklines>
        </x14:sparklineGroup>
        <x14:sparklineGroup displayEmptyCellsAs="gap" markers="1" negative="1" xr2:uid="{70ABCB51-D833-424B-B292-FEDA1E99C236}">
          <x14:colorSeries theme="4" tint="-0.249977111117893"/>
          <x14:colorNegative theme="4"/>
          <x14:colorAxis rgb="FF000000"/>
          <x14:colorMarkers theme="9" tint="-0.499984740745262"/>
          <x14:colorFirst theme="9" tint="0.39997558519241921"/>
          <x14:colorLast theme="9" tint="0.39997558519241921"/>
          <x14:colorHigh theme="9"/>
          <x14:colorLow theme="9"/>
          <x14:sparklines>
            <x14:sparkline>
              <xm:f>'Commen-Size'!D38:I38</xm:f>
              <xm:sqref>J38</xm:sqref>
            </x14:sparkline>
            <x14:sparkline>
              <xm:f>'Commen-Size'!D39:I39</xm:f>
              <xm:sqref>J39</xm:sqref>
            </x14:sparkline>
            <x14:sparkline>
              <xm:f>'Commen-Size'!D40:I40</xm:f>
              <xm:sqref>J40</xm:sqref>
            </x14:sparkline>
            <x14:sparkline>
              <xm:f>'Commen-Size'!D41:I41</xm:f>
              <xm:sqref>J41</xm:sqref>
            </x14:sparkline>
            <x14:sparkline>
              <xm:f>'Commen-Size'!D42:I42</xm:f>
              <xm:sqref>J42</xm:sqref>
            </x14:sparkline>
          </x14:sparklines>
        </x14:sparklineGroup>
        <x14:sparklineGroup displayEmptyCellsAs="gap" markers="1" xr2:uid="{B2413650-E838-4D90-B7AB-FD8E096EA4FA}">
          <x14:colorSeries theme="4" tint="-0.249977111117893"/>
          <x14:colorNegative theme="4"/>
          <x14:colorAxis rgb="FF000000"/>
          <x14:colorMarkers theme="9" tint="-0.499984740745262"/>
          <x14:colorFirst theme="9" tint="0.39997558519241921"/>
          <x14:colorLast theme="9" tint="0.39997558519241921"/>
          <x14:colorHigh theme="9"/>
          <x14:colorLow theme="9"/>
          <x14:sparklines>
            <x14:sparkline>
              <xm:f>'Commen-Size'!D44:I44</xm:f>
              <xm:sqref>J44</xm:sqref>
            </x14:sparkline>
            <x14:sparkline>
              <xm:f>'Commen-Size'!D45:I45</xm:f>
              <xm:sqref>J45</xm:sqref>
            </x14:sparkline>
            <x14:sparkline>
              <xm:f>'Commen-Size'!D46:I46</xm:f>
              <xm:sqref>J46</xm:sqref>
            </x14:sparkline>
            <x14:sparkline>
              <xm:f>'Commen-Size'!D47:I47</xm:f>
              <xm:sqref>J47</xm:sqref>
            </x14:sparkline>
            <x14:sparkline>
              <xm:f>'Commen-Size'!D48:I48</xm:f>
              <xm:sqref>J48</xm:sqref>
            </x14:sparkline>
            <x14:sparkline>
              <xm:f>'Commen-Size'!D49:I49</xm:f>
              <xm:sqref>J49</xm:sqref>
            </x14:sparkline>
          </x14:sparklines>
        </x14:sparklineGroup>
        <x14:sparklineGroup displayEmptyCellsAs="gap" markers="1" xr2:uid="{1766EABD-0A2E-46C5-899E-458A0C81101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'Commen-Size'!D5:I5</xm:f>
              <xm:sqref>J5</xm:sqref>
            </x14:sparkline>
            <x14:sparkline>
              <xm:f>'Commen-Size'!D6:I6</xm:f>
              <xm:sqref>J6</xm:sqref>
            </x14:sparkline>
            <x14:sparkline>
              <xm:f>'Commen-Size'!D7:I7</xm:f>
              <xm:sqref>J7</xm:sqref>
            </x14:sparkline>
            <x14:sparkline>
              <xm:f>'Commen-Size'!D8:I8</xm:f>
              <xm:sqref>J8</xm:sqref>
            </x14:sparkline>
            <x14:sparkline>
              <xm:f>'Commen-Size'!D9:I9</xm:f>
              <xm:sqref>J9</xm:sqref>
            </x14:sparkline>
            <x14:sparkline>
              <xm:f>'Commen-Size'!D10:I10</xm:f>
              <xm:sqref>J10</xm:sqref>
            </x14:sparkline>
            <x14:sparkline>
              <xm:f>'Commen-Size'!D11:I11</xm:f>
              <xm:sqref>J11</xm:sqref>
            </x14:sparkline>
            <x14:sparkline>
              <xm:f>'Commen-Size'!D12:I12</xm:f>
              <xm:sqref>J12</xm:sqref>
            </x14:sparkline>
            <x14:sparkline>
              <xm:f>'Commen-Size'!D13:I13</xm:f>
              <xm:sqref>J13</xm:sqref>
            </x14:sparkline>
            <x14:sparkline>
              <xm:f>'Commen-Size'!D14:I14</xm:f>
              <xm:sqref>J14</xm:sqref>
            </x14:sparkline>
            <x14:sparkline>
              <xm:f>'Commen-Size'!D15:I15</xm:f>
              <xm:sqref>J15</xm:sqref>
            </x14:sparkline>
            <x14:sparkline>
              <xm:f>'Commen-Size'!D16:I16</xm:f>
              <xm:sqref>J16</xm:sqref>
            </x14:sparkline>
          </x14:sparklines>
        </x14:sparklineGroup>
      </x14:sparklineGroup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3E088-5002-4C17-92CF-A620F552D565}">
  <dimension ref="B2:O40"/>
  <sheetViews>
    <sheetView showGridLines="0" workbookViewId="0">
      <selection activeCell="B18" sqref="B18"/>
    </sheetView>
  </sheetViews>
  <sheetFormatPr defaultRowHeight="14.4" x14ac:dyDescent="0.3"/>
  <cols>
    <col min="1" max="1" width="1.88671875" customWidth="1"/>
    <col min="2" max="2" width="42.33203125" bestFit="1" customWidth="1"/>
    <col min="3" max="3" width="15.77734375" bestFit="1" customWidth="1"/>
    <col min="4" max="4" width="17.44140625" bestFit="1" customWidth="1"/>
    <col min="5" max="5" width="16.21875" bestFit="1" customWidth="1"/>
    <col min="7" max="7" width="8" bestFit="1" customWidth="1"/>
    <col min="9" max="9" width="18.109375" bestFit="1" customWidth="1"/>
  </cols>
  <sheetData>
    <row r="2" spans="2:14" ht="16.8" x14ac:dyDescent="0.3">
      <c r="B2" s="144" t="s">
        <v>30</v>
      </c>
      <c r="C2" s="143"/>
      <c r="D2" s="143"/>
      <c r="E2" s="143"/>
      <c r="F2" s="143"/>
      <c r="G2" s="143"/>
      <c r="H2" s="143"/>
    </row>
    <row r="3" spans="2:14" x14ac:dyDescent="0.3">
      <c r="B3" s="145"/>
      <c r="C3" s="143"/>
      <c r="D3" s="143"/>
      <c r="E3" s="143"/>
      <c r="F3" s="143"/>
      <c r="G3" s="143"/>
    </row>
    <row r="4" spans="2:14" x14ac:dyDescent="0.3">
      <c r="B4" s="90" t="s">
        <v>785</v>
      </c>
      <c r="C4" s="91"/>
      <c r="D4" s="91"/>
      <c r="E4" s="91"/>
      <c r="F4" s="91"/>
      <c r="G4" s="91"/>
      <c r="H4" s="91"/>
      <c r="I4" s="91"/>
      <c r="J4" s="91"/>
    </row>
    <row r="6" spans="2:14" x14ac:dyDescent="0.3">
      <c r="B6" s="92" t="s">
        <v>786</v>
      </c>
    </row>
    <row r="8" spans="2:14" x14ac:dyDescent="0.3">
      <c r="B8" s="93" t="s">
        <v>676</v>
      </c>
      <c r="K8" s="94" t="s">
        <v>787</v>
      </c>
      <c r="L8" s="55"/>
      <c r="M8" s="55"/>
      <c r="N8" s="55"/>
    </row>
    <row r="9" spans="2:14" x14ac:dyDescent="0.3">
      <c r="B9" s="95"/>
      <c r="C9" s="95"/>
      <c r="D9" s="95"/>
      <c r="E9" s="95"/>
      <c r="F9" s="95"/>
      <c r="G9" s="96" t="s">
        <v>788</v>
      </c>
      <c r="H9" s="96" t="s">
        <v>789</v>
      </c>
      <c r="I9" s="96" t="s">
        <v>790</v>
      </c>
      <c r="J9" s="96" t="s">
        <v>790</v>
      </c>
    </row>
    <row r="10" spans="2:14" x14ac:dyDescent="0.3">
      <c r="B10" s="97" t="s">
        <v>791</v>
      </c>
      <c r="C10" s="97" t="s">
        <v>792</v>
      </c>
      <c r="D10" s="97" t="s">
        <v>793</v>
      </c>
      <c r="E10" s="97" t="s">
        <v>794</v>
      </c>
      <c r="F10" s="97" t="s">
        <v>795</v>
      </c>
      <c r="G10" s="98" t="s">
        <v>796</v>
      </c>
      <c r="H10" s="98" t="s">
        <v>796</v>
      </c>
      <c r="I10" s="98" t="s">
        <v>59</v>
      </c>
      <c r="J10" s="98" t="s">
        <v>797</v>
      </c>
      <c r="K10" t="s">
        <v>798</v>
      </c>
      <c r="N10" s="29">
        <f>I11</f>
        <v>5.9971990935724258E-2</v>
      </c>
    </row>
    <row r="11" spans="2:14" x14ac:dyDescent="0.3">
      <c r="B11" s="99" t="s">
        <v>824</v>
      </c>
      <c r="C11" s="99" t="s">
        <v>799</v>
      </c>
      <c r="D11" s="100">
        <f>IFERROR(SUM(HistoriacalIFLS!H54:H55),0)</f>
        <v>133686</v>
      </c>
      <c r="E11" s="100">
        <f>IFERROR(SUM(HistoriacalIFLS!H56:H57),0)</f>
        <v>23482</v>
      </c>
      <c r="F11" s="101">
        <v>0.3</v>
      </c>
      <c r="G11" s="102">
        <f>IFERROR(D11/SUM(D11:E11),0)</f>
        <v>0.85059299602972616</v>
      </c>
      <c r="H11" s="102">
        <f>IFERROR(E11/(SUM(D11:E11)),0)</f>
        <v>0.14940700397027384</v>
      </c>
      <c r="I11" s="102">
        <f>C40</f>
        <v>5.9971990935724258E-2</v>
      </c>
      <c r="J11" s="103">
        <f>L26</f>
        <v>6.6267779575845329E-2</v>
      </c>
      <c r="K11" t="s">
        <v>800</v>
      </c>
      <c r="N11" s="79">
        <f>G11</f>
        <v>0.85059299602972616</v>
      </c>
    </row>
    <row r="12" spans="2:14" x14ac:dyDescent="0.3">
      <c r="B12" s="104"/>
      <c r="C12" s="104"/>
      <c r="D12" s="145" t="s">
        <v>676</v>
      </c>
      <c r="E12" s="143"/>
      <c r="F12" s="105"/>
      <c r="G12" s="102"/>
      <c r="H12" s="102"/>
      <c r="I12" s="102"/>
      <c r="J12" s="106"/>
      <c r="K12" t="s">
        <v>801</v>
      </c>
      <c r="N12" s="79">
        <f>J11</f>
        <v>6.6267779575845329E-2</v>
      </c>
    </row>
    <row r="13" spans="2:14" ht="16.8" x14ac:dyDescent="0.3">
      <c r="B13" s="146" t="s">
        <v>802</v>
      </c>
      <c r="C13" s="147"/>
      <c r="D13" s="107">
        <f>SUM(D11:E11)</f>
        <v>157168</v>
      </c>
      <c r="E13" s="95"/>
      <c r="F13" s="108"/>
      <c r="G13" s="109">
        <f>G11+H11</f>
        <v>1</v>
      </c>
      <c r="H13" s="109"/>
      <c r="I13" s="109"/>
      <c r="J13" s="110"/>
      <c r="K13" t="s">
        <v>803</v>
      </c>
      <c r="N13" s="79">
        <f>H11</f>
        <v>0.14940700397027384</v>
      </c>
    </row>
    <row r="14" spans="2:14" x14ac:dyDescent="0.3">
      <c r="K14" s="111" t="s">
        <v>804</v>
      </c>
      <c r="L14" s="111"/>
      <c r="M14" s="111"/>
      <c r="N14" s="112">
        <f>(N10*N11)+(N12*N13)</f>
        <v>6.091262585407483E-2</v>
      </c>
    </row>
    <row r="16" spans="2:14" x14ac:dyDescent="0.3">
      <c r="B16" s="21" t="s">
        <v>805</v>
      </c>
    </row>
    <row r="18" spans="2:15" x14ac:dyDescent="0.3">
      <c r="B18" t="s">
        <v>676</v>
      </c>
    </row>
    <row r="19" spans="2:15" x14ac:dyDescent="0.3">
      <c r="B19" t="s">
        <v>806</v>
      </c>
      <c r="C19" t="s">
        <v>676</v>
      </c>
    </row>
    <row r="20" spans="2:15" x14ac:dyDescent="0.3">
      <c r="B20" s="148" t="s">
        <v>807</v>
      </c>
      <c r="C20" s="143"/>
      <c r="D20" s="143"/>
      <c r="E20" s="143"/>
      <c r="F20" s="143"/>
      <c r="H20" s="113" t="s">
        <v>808</v>
      </c>
      <c r="M20" t="s">
        <v>676</v>
      </c>
    </row>
    <row r="22" spans="2:15" x14ac:dyDescent="0.3">
      <c r="B22" s="114" t="s">
        <v>809</v>
      </c>
      <c r="C22" s="114" t="s">
        <v>810</v>
      </c>
      <c r="D22" s="114" t="s">
        <v>811</v>
      </c>
      <c r="E22" s="114" t="s">
        <v>812</v>
      </c>
      <c r="F22" s="114" t="s">
        <v>813</v>
      </c>
      <c r="I22" s="115" t="s">
        <v>801</v>
      </c>
      <c r="J22" s="97"/>
      <c r="K22" s="97"/>
      <c r="L22" s="97"/>
      <c r="M22" s="97" t="s">
        <v>814</v>
      </c>
      <c r="N22" s="97"/>
      <c r="O22" s="97"/>
    </row>
    <row r="23" spans="2:15" x14ac:dyDescent="0.3">
      <c r="B23" s="129">
        <v>2026</v>
      </c>
      <c r="C23" s="127">
        <v>8</v>
      </c>
      <c r="D23" s="127" t="s">
        <v>825</v>
      </c>
      <c r="E23" s="128">
        <v>8</v>
      </c>
      <c r="F23" s="116">
        <f>LN(E23/E24)</f>
        <v>-0.31845373111853459</v>
      </c>
    </row>
    <row r="24" spans="2:15" x14ac:dyDescent="0.3">
      <c r="B24" s="129">
        <v>2025</v>
      </c>
      <c r="C24" s="127">
        <v>11</v>
      </c>
      <c r="D24" s="127" t="s">
        <v>825</v>
      </c>
      <c r="E24" s="128">
        <v>11</v>
      </c>
      <c r="F24" s="116">
        <f t="shared" ref="F24:F35" si="0">LN(E24/E25)</f>
        <v>2.3978952727983707</v>
      </c>
      <c r="I24" t="s">
        <v>815</v>
      </c>
      <c r="L24" s="103">
        <f>O24</f>
        <v>9.4668256536921902E-2</v>
      </c>
      <c r="N24" t="s">
        <v>656</v>
      </c>
      <c r="O24" s="103">
        <f>IFERROR(HistoriacalIFLS!H27/Wacc!E11,0)</f>
        <v>9.4668256536921902E-2</v>
      </c>
    </row>
    <row r="25" spans="2:15" x14ac:dyDescent="0.3">
      <c r="B25" s="129">
        <v>2024</v>
      </c>
      <c r="C25" s="127">
        <v>1</v>
      </c>
      <c r="D25" s="127" t="s">
        <v>825</v>
      </c>
      <c r="E25" s="128">
        <v>1</v>
      </c>
      <c r="F25" s="116">
        <f t="shared" si="0"/>
        <v>0</v>
      </c>
      <c r="I25" t="s">
        <v>661</v>
      </c>
      <c r="L25" s="79">
        <f>F11</f>
        <v>0.3</v>
      </c>
    </row>
    <row r="26" spans="2:15" x14ac:dyDescent="0.3">
      <c r="B26" s="129">
        <v>2023</v>
      </c>
      <c r="C26" s="127">
        <v>1</v>
      </c>
      <c r="D26" s="127" t="s">
        <v>825</v>
      </c>
      <c r="E26" s="128">
        <v>1</v>
      </c>
      <c r="F26" s="116">
        <f t="shared" si="0"/>
        <v>-1.791759469228055</v>
      </c>
      <c r="I26" s="48" t="s">
        <v>816</v>
      </c>
      <c r="J26" s="48"/>
      <c r="K26" s="48"/>
      <c r="L26" s="117">
        <f>L24*(1-L25)</f>
        <v>6.6267779575845329E-2</v>
      </c>
    </row>
    <row r="27" spans="2:15" x14ac:dyDescent="0.3">
      <c r="B27" s="129">
        <v>2022</v>
      </c>
      <c r="C27" s="127">
        <v>6</v>
      </c>
      <c r="D27" s="127" t="s">
        <v>825</v>
      </c>
      <c r="E27" s="128">
        <v>6</v>
      </c>
      <c r="F27" s="116">
        <f t="shared" si="0"/>
        <v>1.791759469228055</v>
      </c>
      <c r="O27" t="s">
        <v>676</v>
      </c>
    </row>
    <row r="28" spans="2:15" x14ac:dyDescent="0.3">
      <c r="B28" s="129">
        <v>2021</v>
      </c>
      <c r="C28" s="127">
        <v>1</v>
      </c>
      <c r="D28" s="127" t="s">
        <v>825</v>
      </c>
      <c r="E28" s="128">
        <v>1</v>
      </c>
      <c r="F28" s="116">
        <f t="shared" si="0"/>
        <v>0</v>
      </c>
    </row>
    <row r="29" spans="2:15" x14ac:dyDescent="0.3">
      <c r="B29" s="129">
        <v>2020</v>
      </c>
      <c r="C29" s="127">
        <v>1</v>
      </c>
      <c r="D29" s="127" t="s">
        <v>825</v>
      </c>
      <c r="E29" s="128">
        <v>1</v>
      </c>
      <c r="F29" s="116">
        <f t="shared" si="0"/>
        <v>0</v>
      </c>
    </row>
    <row r="30" spans="2:15" x14ac:dyDescent="0.3">
      <c r="B30" s="129">
        <v>2019</v>
      </c>
      <c r="C30" s="127">
        <v>1</v>
      </c>
      <c r="D30" s="127" t="s">
        <v>825</v>
      </c>
      <c r="E30" s="128">
        <v>1</v>
      </c>
      <c r="F30" s="116">
        <f t="shared" si="0"/>
        <v>0</v>
      </c>
    </row>
    <row r="31" spans="2:15" x14ac:dyDescent="0.3">
      <c r="B31" s="129">
        <v>2018</v>
      </c>
      <c r="C31" s="127">
        <v>1</v>
      </c>
      <c r="D31" s="127" t="s">
        <v>825</v>
      </c>
      <c r="E31" s="128">
        <v>1</v>
      </c>
      <c r="F31" s="116">
        <f t="shared" si="0"/>
        <v>-0.69314718055994529</v>
      </c>
    </row>
    <row r="32" spans="2:15" x14ac:dyDescent="0.3">
      <c r="B32" s="129">
        <v>2017</v>
      </c>
      <c r="C32" s="127">
        <v>2</v>
      </c>
      <c r="D32" s="127" t="s">
        <v>825</v>
      </c>
      <c r="E32" s="128">
        <v>2</v>
      </c>
      <c r="F32" s="116">
        <f t="shared" si="0"/>
        <v>-1.0986122886681098</v>
      </c>
    </row>
    <row r="33" spans="2:11" x14ac:dyDescent="0.3">
      <c r="B33" s="129">
        <v>2016</v>
      </c>
      <c r="C33" s="127">
        <v>5</v>
      </c>
      <c r="D33" s="127">
        <v>1</v>
      </c>
      <c r="E33" s="128">
        <v>6</v>
      </c>
      <c r="F33" s="116">
        <f t="shared" si="0"/>
        <v>-0.69314718055994529</v>
      </c>
    </row>
    <row r="34" spans="2:11" x14ac:dyDescent="0.3">
      <c r="B34" s="129">
        <v>2015</v>
      </c>
      <c r="C34" s="127">
        <v>5</v>
      </c>
      <c r="D34" s="127">
        <v>7</v>
      </c>
      <c r="E34" s="128">
        <v>12</v>
      </c>
      <c r="F34" s="116">
        <f t="shared" si="0"/>
        <v>0.40546510810816438</v>
      </c>
      <c r="I34" s="118" t="s">
        <v>817</v>
      </c>
      <c r="J34" s="119">
        <f>AVERAGE(F23:F35)</f>
        <v>3.6154125326595059E-2</v>
      </c>
    </row>
    <row r="35" spans="2:11" x14ac:dyDescent="0.3">
      <c r="B35" s="129">
        <v>2014</v>
      </c>
      <c r="C35" s="127">
        <v>3</v>
      </c>
      <c r="D35" s="127">
        <v>5</v>
      </c>
      <c r="E35" s="128">
        <v>8</v>
      </c>
      <c r="F35" s="116">
        <f t="shared" si="0"/>
        <v>0.47000362924573563</v>
      </c>
      <c r="I35" s="120" t="s">
        <v>818</v>
      </c>
      <c r="J35" s="121">
        <f>_xlfn.RRI(14,E23,E36)</f>
        <v>-3.3014412325965248E-2</v>
      </c>
      <c r="K35" s="79">
        <f>-1*J35</f>
        <v>3.3014412325965248E-2</v>
      </c>
    </row>
    <row r="36" spans="2:11" x14ac:dyDescent="0.3">
      <c r="B36" s="129">
        <v>2013</v>
      </c>
      <c r="C36" s="127" t="s">
        <v>825</v>
      </c>
      <c r="D36" s="127">
        <v>5</v>
      </c>
      <c r="E36" s="128">
        <v>5</v>
      </c>
      <c r="F36" s="116" t="s">
        <v>676</v>
      </c>
      <c r="I36" s="120" t="s">
        <v>726</v>
      </c>
      <c r="J36" s="122">
        <f>MEDIAN(F23:F35)</f>
        <v>0</v>
      </c>
    </row>
    <row r="37" spans="2:11" x14ac:dyDescent="0.3">
      <c r="I37" s="123" t="s">
        <v>820</v>
      </c>
      <c r="J37" s="123">
        <v>191.6</v>
      </c>
    </row>
    <row r="38" spans="2:11" x14ac:dyDescent="0.3">
      <c r="B38" t="s">
        <v>819</v>
      </c>
      <c r="G38" s="142" t="s">
        <v>821</v>
      </c>
      <c r="H38" s="143"/>
      <c r="I38" s="143"/>
      <c r="J38" s="143"/>
    </row>
    <row r="39" spans="2:11" x14ac:dyDescent="0.3">
      <c r="B39" s="124" t="s">
        <v>822</v>
      </c>
      <c r="C39" s="125">
        <f>IFERROR(E36*(1+K35),0)</f>
        <v>5.165072061629826</v>
      </c>
    </row>
    <row r="40" spans="2:11" x14ac:dyDescent="0.3">
      <c r="B40" s="124" t="s">
        <v>823</v>
      </c>
      <c r="C40" s="126">
        <f>IFERROR((C39/J37)+K35,0)</f>
        <v>5.9971990935724258E-2</v>
      </c>
    </row>
  </sheetData>
  <mergeCells count="6">
    <mergeCell ref="G38:J38"/>
    <mergeCell ref="B2:H2"/>
    <mergeCell ref="B3:G3"/>
    <mergeCell ref="D12:E12"/>
    <mergeCell ref="B13:C13"/>
    <mergeCell ref="B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Cover Notes</vt:lpstr>
      <vt:lpstr>PL 2020-21</vt:lpstr>
      <vt:lpstr>CF 2020-21</vt:lpstr>
      <vt:lpstr>BS 2020-21</vt:lpstr>
      <vt:lpstr>Notes 2020-21</vt:lpstr>
      <vt:lpstr>BS 2021-22</vt:lpstr>
      <vt:lpstr>PL 2021-22</vt:lpstr>
      <vt:lpstr>CF 2021-22</vt:lpstr>
      <vt:lpstr>_Combined Balance Sheet</vt:lpstr>
      <vt:lpstr>Notes 2021-22</vt:lpstr>
      <vt:lpstr>BS 2022-23</vt:lpstr>
      <vt:lpstr>PL 2022-23</vt:lpstr>
      <vt:lpstr>CF 2022-23</vt:lpstr>
      <vt:lpstr>Notes 2022-23</vt:lpstr>
      <vt:lpstr>BS 2023-24</vt:lpstr>
      <vt:lpstr>PL 2023-24</vt:lpstr>
      <vt:lpstr>CF 2023-24</vt:lpstr>
      <vt:lpstr>Notes 2023-24</vt:lpstr>
      <vt:lpstr>Notes 2024-25</vt:lpstr>
      <vt:lpstr>BS 2024-25</vt:lpstr>
      <vt:lpstr>combined BS</vt:lpstr>
      <vt:lpstr>CF 2024-25</vt:lpstr>
      <vt:lpstr>PL 2024-25</vt:lpstr>
      <vt:lpstr>HistoriacalIFLS</vt:lpstr>
      <vt:lpstr>Ratio Analysis</vt:lpstr>
      <vt:lpstr>Commen-Size</vt:lpstr>
      <vt:lpstr>Wacc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prashant THAKUR</cp:lastModifiedBy>
  <dcterms:created xsi:type="dcterms:W3CDTF">2026-07-31T11:54:07Z</dcterms:created>
  <dcterms:modified xsi:type="dcterms:W3CDTF">2026-10-04T06:45:18Z</dcterms:modified>
</cp:coreProperties>
</file>